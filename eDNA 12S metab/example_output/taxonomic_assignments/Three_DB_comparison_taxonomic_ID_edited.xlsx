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oxDrive\Box\Science\Fisheries\github\resources\docs\eDNA 12S metab\example_output\taxonomic_assignments\"/>
    </mc:Choice>
  </mc:AlternateContent>
  <xr:revisionPtr revIDLastSave="0" documentId="13_ncr:1_{F6C88205-6EBD-4503-A1CC-9C93BFC59B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  <c r="I90" i="1"/>
  <c r="I91" i="1"/>
  <c r="I92" i="1"/>
  <c r="I88" i="1"/>
  <c r="I8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tc={C7919504-E4E0-4CD6-990F-3BFE8C54A52E}</author>
    <author>tc={D78765F6-2B33-4730-9F7D-BAA7C2882829}</author>
    <author>tc={7E173C53-D60D-4256-8A54-08335187F8C4}</author>
  </authors>
  <commentList>
    <comment ref="E46" authorId="0" shapeId="0" xr:uid="{C7919504-E4E0-4CD6-990F-3BFE8C54A52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100% seq from Mugil cephalus to db?</t>
      </text>
    </comment>
    <comment ref="F87" authorId="1" shapeId="0" xr:uid="{D78765F6-2B33-4730-9F7D-BAA7C288282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to db?</t>
      </text>
    </comment>
    <comment ref="F90" authorId="2" shapeId="0" xr:uid="{7E173C53-D60D-4256-8A54-08335187F8C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to db?</t>
      </text>
    </comment>
  </commentList>
</comments>
</file>

<file path=xl/sharedStrings.xml><?xml version="1.0" encoding="utf-8"?>
<sst xmlns="http://schemas.openxmlformats.org/spreadsheetml/2006/main" count="516" uniqueCount="465">
  <si>
    <t>ASV_ID</t>
  </si>
  <si>
    <t>GMGI_pident</t>
  </si>
  <si>
    <t>GMGI_db_ID</t>
  </si>
  <si>
    <t>GMGI_Species</t>
  </si>
  <si>
    <t>Mito_Species</t>
  </si>
  <si>
    <t>NCBI_Species</t>
  </si>
  <si>
    <t>ASV_sum</t>
  </si>
  <si>
    <t>ASV_rank</t>
  </si>
  <si>
    <t>Choice</t>
  </si>
  <si>
    <t>sequence</t>
  </si>
  <si>
    <t>033531a8711295f5cf38c1111629eb77</t>
  </si>
  <si>
    <t>Anguilla rostrata</t>
  </si>
  <si>
    <t>Anguilla anguilla</t>
  </si>
  <si>
    <t>316/422</t>
  </si>
  <si>
    <t>ACTATGCTCAACCTTAAACAACGATGACACCATACAAATATCATCCGCCAGGGGACTACGAGCGTTAGCTTAAAACCCAAAGGACTTGGCGGTGCCTCAAACCCAC</t>
  </si>
  <si>
    <t>0437f2363acf453d6291ceda4abba683</t>
  </si>
  <si>
    <t>Ameiurus nebulosus</t>
  </si>
  <si>
    <t>Ameiurus nebulosus;Ameiurus natalis</t>
  </si>
  <si>
    <t>417/422</t>
  </si>
  <si>
    <t>ACTATGCTTAGCCTTAAACCCAGATGTATTCTTACACACACATCCGCCCGGGTACTACGAGCATAGCTTAAAACCCAAAGGACTTGGCGGTGTCTCAGACCCAC</t>
  </si>
  <si>
    <t>04b7800c7f90cbcfb4fd58ebbda70f82</t>
  </si>
  <si>
    <t>Sphoeroides maculatus</t>
  </si>
  <si>
    <t>Sphoeroides nephelus;Sphoeroides maculatus;Sphoeroides parvus</t>
  </si>
  <si>
    <t>Sphoeroides maculatus;Sphoeroides nephelus;Sphoeroides parvus</t>
  </si>
  <si>
    <t>48/422</t>
  </si>
  <si>
    <t>ACTATGCTTAGCCCTAAACAATGATACTTACATACATCCACCATCCGCCCGGGTACTACGAGCATTAGCTTAAAACCCAAAGGACTTGGCGGTGCTTTAAAACCAT</t>
  </si>
  <si>
    <t>088fe13fa02373ceebeefea46a158220</t>
  </si>
  <si>
    <t>Thunnus sp</t>
  </si>
  <si>
    <t>Thunnus thynnus;Thunnus tonggol;Thunnus albacares;Thunnus thynnus thynnus;Thunnus maccoyii</t>
  </si>
  <si>
    <t>Thunnus orientalis;Thunnus maccoyii;Thunnus obesus;Thunnus atlanticus;Thunnus thynnus;Thunnus albacares;Thunnus alalunga</t>
  </si>
  <si>
    <t>43/422</t>
  </si>
  <si>
    <t>ACTATGCCTAGCCGTAAACATTGATAGAATTTTACACCCTCTATCCGCCTGGGTACTACGAGCATTAGCTTGAAACCCAAAGGACTTGGCGGTACTTTAGATCCCC</t>
  </si>
  <si>
    <t>0c1953958636362ca2347e398eb8c36c</t>
  </si>
  <si>
    <t>Homo sapiens</t>
  </si>
  <si>
    <t>Nomascus leucogenys;Homo sapiens</t>
  </si>
  <si>
    <t>85/422</t>
  </si>
  <si>
    <t>ACTATGCTTAGTTCTAAACCCAAATAGTTCAACCAACAAAACTATTCACCAGAGTACTACAAGCAACAGCTTAAGACTCAAAAGACTTGGCAGTGCTTTATATCCCT</t>
  </si>
  <si>
    <t>0c345c9a2aa92abab556aa04441cf718</t>
  </si>
  <si>
    <t>Brevoortia tyrannus</t>
  </si>
  <si>
    <t>Brevoortia patronus;Brevoortia tyrannus</t>
  </si>
  <si>
    <t>Brevoortia tyrannus;Brevoortia patronus</t>
  </si>
  <si>
    <t>3/422</t>
  </si>
  <si>
    <t>ACTATGCCCCGCCGTAAACTTAGATATTCCAGTACAATAAATATCCGCCAGGGGACTACGAGCGCCAGCTTAAAACCCAAAGGACTTGGCGGTGCTTCAGACCCCC</t>
  </si>
  <si>
    <t>0df37a1b74088f0e7410a1b78cada881</t>
  </si>
  <si>
    <t>Engraulis eurystole</t>
  </si>
  <si>
    <t>Engraulis encrasicolus;Engraulis japonicus;Engraulis eurystole</t>
  </si>
  <si>
    <t>Engraulis eurystole;Engraulis encrasicolus;Engraulis japonicus</t>
  </si>
  <si>
    <t>143/422</t>
  </si>
  <si>
    <t>ACTATGCCTAGCCGTAAACTTTAATGCTAATGTACAACTAGCATCCGCCAGGGAACTACGAGCACCAGCTTAAAACCCAAAGGACTTGGCGGTGCCTCAGACCCCC</t>
  </si>
  <si>
    <t>1186c621e048e637a49024762b3750e7</t>
  </si>
  <si>
    <t>Pseudopleuronectes americanus or Myzopsetta ferruginea</t>
  </si>
  <si>
    <t>Pleuronectes platessa;Platichthys flesus;Limanda limanda;Pleuronectes quadrituberculatus;Isopsetta isolepis;Pseudopleuronectes americanus;Lepidopsetta bilineata;Limanda sakhalinensis;Myzopsetta proboscidea;Liopsetta glacialis</t>
  </si>
  <si>
    <t>Pseudopleuronectes americanus;Myzopsetta ferruginea;Limanda limanda;Pleuronectes platessa;Platichthys flesus;Lepidopsetta bilineata</t>
  </si>
  <si>
    <t>6/422</t>
  </si>
  <si>
    <t>ACTATGCTTAGCCCTAAACATCGATTGCACCATACACTCCATATCCGCCCGGGAATTATGAACGTCAGTTTAAAACCCAAAGGACTTGGCGGTGCTTAACATCCAC</t>
  </si>
  <si>
    <t>12ec47a024145ea53abe2244343a8a18</t>
  </si>
  <si>
    <t>Homo sapiens;Pan troglodytes</t>
  </si>
  <si>
    <t>63/422</t>
  </si>
  <si>
    <t>ACTAGGCTTAGCCCTAAACTCCAATAGTTAAATCAACAAAACTATTCCCCAGAACACTACAAGCAATAGCTTAAAACTCAAAGGACTTGGCAGTGCTTTATATCCCT</t>
  </si>
  <si>
    <t>1535a44c66f8850e6d30284f8ddeb38d</t>
  </si>
  <si>
    <t>Homo sapiens;Pan troglodytes;Pan paniscus</t>
  </si>
  <si>
    <t>133/422</t>
  </si>
  <si>
    <t>ACTATGCTTAGCCCTAAACCTCAACAGTTAAATTAACAAAACTGCTCGCCAGAACACTACGAGCCACAGCTTAAAACTCAAAGGACCTGGCGGTGCTTCATATCCCT</t>
  </si>
  <si>
    <t>16d55edf1062cb60bf8a36a1da3212b5</t>
  </si>
  <si>
    <t>Esox americanus or niger</t>
  </si>
  <si>
    <t>Esox americanus;Esox niger;Esox americanus americanus;Esox americanus vermiculatus</t>
  </si>
  <si>
    <t>Esox americanus;Esox niger</t>
  </si>
  <si>
    <t>314/422</t>
  </si>
  <si>
    <t>ACTATGCATAGTCATAAATTCTGATAAAAACATACAATTTTATCCGCCAGGGGACTACAAGCATTAGCTTAAAACCCAAAGGACTTGGCGGTGCTTCAAACCCAC</t>
  </si>
  <si>
    <t>1b3e775bcfba124747bdf5e2c611ddc2</t>
  </si>
  <si>
    <t>Ammodytes dubius</t>
  </si>
  <si>
    <t>Ammodytes americanus;Ammodytes dubius</t>
  </si>
  <si>
    <t>Ammodytes dubius;Ammodytes americanus</t>
  </si>
  <si>
    <t>317/422</t>
  </si>
  <si>
    <t>CACTATGCCTAGCCCTAAACATCGATAGCGCACTACATCTGCTATCCGCCTGGGAACTACGAGCACCAGCTTGAAACCCAAAGGACTTGGCGGTGCTTTAGATCCAC</t>
  </si>
  <si>
    <t>1b650324aafac0e6e6f0c473eccff258</t>
  </si>
  <si>
    <t>eukaryotic synthetic construct;Mus musculus;Homo sapiens</t>
  </si>
  <si>
    <t>58/422</t>
  </si>
  <si>
    <t>ACTATGCTCAGCCCTAAACTTCAACAGTTAAATCAACAAAACTGCTCGCCAGAACACTAGGAGCAACAGCTTAAAACTCAAAGGACCTGGCGGTGCTTCACATCCCT</t>
  </si>
  <si>
    <t>1b7bef208071964dff913b3e58cc6deb</t>
  </si>
  <si>
    <t>Homo sapiens;eukaryotic synthetic construct;Mus musculus</t>
  </si>
  <si>
    <t>342/422</t>
  </si>
  <si>
    <t>CCTATGCTTAGCCCTAAACTCTAATAGTTACATTAACAAAACCATTCGCCAGAGTACTACAAGCAACAGCTTAAAACTCAAAGGACTTGGCAGTGCTTTATATCCCT</t>
  </si>
  <si>
    <t>1c99e18c6d496da65a7f21faa2c1b486</t>
  </si>
  <si>
    <t>Gavia immer</t>
  </si>
  <si>
    <t>Gavia pacifica;Gavia adamsii;Gavia immer</t>
  </si>
  <si>
    <t>59/422</t>
  </si>
  <si>
    <t>ACTATGCCCAGCCCTAAATCTTGATGCTTACCCCACTGAAGCATCCGCCTGAGAACTACGAGCACAAACGCTTAAAACTCTAAGGACTTGGCGGTGCCCCAAACCCAC</t>
  </si>
  <si>
    <t>1f73af8d0f7f00f65f39925298b0da2f</t>
  </si>
  <si>
    <t>Anatidae sp</t>
  </si>
  <si>
    <t>Anser albifrons;Anser erythropus;Branta leucopsis;Anser anser;Anser cygnoides;Cygnus cygnus</t>
  </si>
  <si>
    <t>291/422</t>
  </si>
  <si>
    <t>ACTATGCCTGGCCCTAAATCTTGATACTTACTTTACCGAAGTATCCGCCAGAGAACTACGAGCACAAACGCTTAAAACTCTAAGGACTTGGCGGTGCCCCAAACCTAC</t>
  </si>
  <si>
    <t>20a9b66022e64e1ed2b8c4527d0ff2ac</t>
  </si>
  <si>
    <t>Larus sp</t>
  </si>
  <si>
    <t>Larus canus;Larus fuscus;Larus glaucescens;Larus occidentalis;Larus hyperboreus</t>
  </si>
  <si>
    <t>11/422</t>
  </si>
  <si>
    <t>ACTATGCCTAGCCCTAAATCTCGATGCTTGCCGTACCAAAGCATCCGCCCGAGAACTACGAGCACAAACGCTTAAAACTCTAAGGACTTGGCGGTGCCCCAAACCCAT</t>
  </si>
  <si>
    <t>25ec528c69a6a3a1bd535abb3a68e622</t>
  </si>
  <si>
    <t>Larus atricilla</t>
  </si>
  <si>
    <t>Leucophaeus atricilla;Ichthyaetus relictus</t>
  </si>
  <si>
    <t>125/422</t>
  </si>
  <si>
    <t>ACTATGCCTAGCCCTAAATCTCGATGCTTGCCGTACCAAAGCATCCGCCCGAGAACTACGAGCACAAACGCTTAAAACTCTAAGGACTTGGCGGTGTCCCAAACCCAT</t>
  </si>
  <si>
    <t>26a933bf07de2306f33cc95ec94e4b2f</t>
  </si>
  <si>
    <t>Pomoxis nigromaculatus</t>
  </si>
  <si>
    <t>Pomoxis nigromaculatus;Pomoxis annularis</t>
  </si>
  <si>
    <t>270/422</t>
  </si>
  <si>
    <t>ACTATGCCTAGCCCTAAACATTGATAGCATCCTACATCTGCTATCCGCCTGGGAACTACGAGCTTTAGCTTGAAACCCAAAGGACTTGGCGGTGCTTTAGATCCAC</t>
  </si>
  <si>
    <t>2c9521bc9659f75133d08270bc0050e0</t>
  </si>
  <si>
    <t>Scomberesox saurus</t>
  </si>
  <si>
    <t>Scomberesox saurus;Cololabis saira</t>
  </si>
  <si>
    <t>398/422</t>
  </si>
  <si>
    <t>ACTATGCACAGCCCTAAACTCTGATAAAAACCTACATTTATTATCCGCCAGGGTACTACGAGCTCTAGCTTAAAATCCAAAGGACTTGGCGGTGCTTTAGACCCAC</t>
  </si>
  <si>
    <t>308bb50819e2748bf8af026d2cc3c458</t>
  </si>
  <si>
    <t>Pungitius pungitius</t>
  </si>
  <si>
    <t>Pungitius kaibarae</t>
  </si>
  <si>
    <t>Pungitius pungitius;Pungitius kaibarae;Pungitius laevis</t>
  </si>
  <si>
    <t>298/422</t>
  </si>
  <si>
    <t>ACTATGCCTAGCCCTAAACATTGATAGAATTTTACAACCTCTATCCGCCCGGGGACTACAAGCATCAGCTTGAAACCCAAAGGACTTGGCGGTGCTTTAGATCCAC</t>
  </si>
  <si>
    <t>30a623f128fb722f5fc16dbb86582d53</t>
  </si>
  <si>
    <t>Clupea harengus</t>
  </si>
  <si>
    <t>Sprattus sprattus;Clupea harengus</t>
  </si>
  <si>
    <t>Clupea harengus;Sprattus sprattus</t>
  </si>
  <si>
    <t>138/422</t>
  </si>
  <si>
    <t>ACTATGCCCCGCCGTAAACTTAGATATATTAGTACAACAAATATCCGCCCGGGAACTACGAGCGCCAGCTTAAAACCCAAAGGACTTGGCGGTGCTTCAGACCCCC</t>
  </si>
  <si>
    <t>30bf2d2baf110c0d8539178072d8e9f8</t>
  </si>
  <si>
    <t>Sylvilagus floridanus</t>
  </si>
  <si>
    <t>Sylvilagus nuttallii;Sylvilagus floridanus</t>
  </si>
  <si>
    <t>369/422</t>
  </si>
  <si>
    <t>ACTATGCTTAGCCCTAAACTTAAATAATTCCATAACAAAATTACTCGCCAGAGAACTACAAGCCAGAGCTTAAAACTCAAAGGACTTGGCGGTGCTTTATACCCAC</t>
  </si>
  <si>
    <t>3956f5a5105c1b073bb4dfbaa8d26f5c</t>
  </si>
  <si>
    <t>Gadus morhua or Melanogrammus aeglefinus</t>
  </si>
  <si>
    <t>Gadus morhua</t>
  </si>
  <si>
    <t>397/422</t>
  </si>
  <si>
    <t>ACTATGTATGGTCGTTAACATTGATGGTTTTATACCCGAACCATCCGCCTGGGAACTACGAGCAATAGCTTAAAACCCAAAGGACTTGGCGGTGCTTTAGACCCCC</t>
  </si>
  <si>
    <t>39de91629c6b453d2baa487a9cbe4d2e</t>
  </si>
  <si>
    <t>Sylvilagus palustris;Sylvilagus floridanus;Sylvilagus audubonii;Sylvilagus sp. 2 AS-2022</t>
  </si>
  <si>
    <t>239/422</t>
  </si>
  <si>
    <t>ACTATGCTTAGCCCTAAACTTAAATAATTCCATAACAAAATTACTCGCCAGAGAACTACAAGCCAGAGCTTGAAACTCAAAGGACTTGGCGGTGCTTTATACCCAC</t>
  </si>
  <si>
    <t>3caae93eaa8222d3c3c82880d1ea3d6b</t>
  </si>
  <si>
    <t>Ammodytes americanus</t>
  </si>
  <si>
    <t>Ammodytes hexapterus</t>
  </si>
  <si>
    <t>19/422</t>
  </si>
  <si>
    <t>ACTATGCTTAGCCCTAAACATCGATAGCGCAATACACCTGCTATCCGCCTGGGAACTACGAGCATCAGCTTGAAACCCAAAGGACTTGGCGGTGCTTTAGATCCAC</t>
  </si>
  <si>
    <t>41714252fc55bbced79f657eb2b8805a</t>
  </si>
  <si>
    <t>Passer domesticus</t>
  </si>
  <si>
    <t>Passer montanus;Petronia petronia;Passer ammodendri;Passer domesticus;Leucosticte brandti</t>
  </si>
  <si>
    <t>387/422</t>
  </si>
  <si>
    <t>ACTATGCCTGGCCCTAAATCTTGATGCTTAAACCTACTAAAGCATCCGCCCGAGAACTACGAGCACTAACGCTTAAAACTCTAAGGACTTGGCGGTGCCCCAAACCCAC</t>
  </si>
  <si>
    <t>4a5d3d90445cc0e095b7d7c5357e71e4</t>
  </si>
  <si>
    <t>Lucania parva</t>
  </si>
  <si>
    <t>Lucania goodei;Lucania parva</t>
  </si>
  <si>
    <t>Lucania parva;Lucania goodei</t>
  </si>
  <si>
    <t>20/422</t>
  </si>
  <si>
    <t>ACTATGCACAGCCGTAAACTTTGATAATAATTTACAATATTATCCGCCCGGGAACTACGAGCGTAAGCTTAAAACCCAAAGGACTTGGCGGTGCTTTAGATCCAC</t>
  </si>
  <si>
    <t>4ff4e781757ee1039904349cdc605926</t>
  </si>
  <si>
    <t>28/422</t>
  </si>
  <si>
    <t>ACTATGCCTGGCCCTAAATCTTGATACTTACTTTACCGAAGTATCCGCCAGAGAACTACGAGCACAAACGCTTAAAACTCTAAGGACTTGGCGGTGCCCCAAACCCAC</t>
  </si>
  <si>
    <t>52d8a0f8f9f43992f249840c3df40831</t>
  </si>
  <si>
    <t>Cystophora cristata or Halichoerus grypus or Phoca vitulina</t>
  </si>
  <si>
    <t>Phoca groenlandica;Halichoerus grypus;Phoca largha;Cystophora cristata</t>
  </si>
  <si>
    <t>65/422</t>
  </si>
  <si>
    <t>ACTATGCTTAGCCCTAAACATAAATAATTCACGTAACAAAATTATTCGCCAGAGAACTACTAGCAACAGCTTAAAACTCAAAGGACTTGGCGGTGCTTCACACCCCT</t>
  </si>
  <si>
    <t>53f53ff0ca0a5c6020be92546228c06b</t>
  </si>
  <si>
    <t>Fundulus majalis</t>
  </si>
  <si>
    <t>Fundulus heteroclitus;Fundulus majalis</t>
  </si>
  <si>
    <t>Fundulus majalis;Fundulus heteroclitus</t>
  </si>
  <si>
    <t>390/422</t>
  </si>
  <si>
    <t>ACTATGCACAGCCGTAAACTTTGATATGATATTACAACATTATCCGCCTGGGGACTACGAGCGTAAGCTTAAAACCCAAAGGACTTGGCGGTGCTTTAGATCCAG</t>
  </si>
  <si>
    <t>5e195d1ea85055f02620fe14c0cb36db</t>
  </si>
  <si>
    <t>Acipenser sp</t>
  </si>
  <si>
    <t>Acipenser baerii;Acipenser persicus;Acipenser fulvescens;Huso huso;Acipenser stellatus;Acipenser nudiventris;Acipenser naccarii;Acipenser gueldenstaedtii</t>
  </si>
  <si>
    <t>Acipenser fulvescens;Acipenser baerii</t>
  </si>
  <si>
    <t>177/422</t>
  </si>
  <si>
    <t>ACTATGCTCAGTCATAAACTTTGGTGATAAATTACACATATTGCCCGCCAGGGTACTACGAGCGCTAGCTTAAAACCCAAAGGACTTGGCGGTGCCCCAGACCCAC</t>
  </si>
  <si>
    <t>6143aeedbb6e751a50ea6a07ada80b45</t>
  </si>
  <si>
    <t>Nannopterum auritum</t>
  </si>
  <si>
    <t>Phalacrocorax auritus;Phalacrocorax fuscescens</t>
  </si>
  <si>
    <t>26/422</t>
  </si>
  <si>
    <t>ACTATGCCTAGCCCTAAATCTTGGCACTTCCCCCACTAAAGTGCCCGCCCGAGAACTACGAGCACAAACGCTTAAAACTCTAAGGACTTGGCGGTGCCCCAAACCCAC</t>
  </si>
  <si>
    <t>69ac299d9ecf9485bf58d60edab1cbcb</t>
  </si>
  <si>
    <t>Phocoena phocoena</t>
  </si>
  <si>
    <t>Phocoena phocoena;Phocoena spinipinnis</t>
  </si>
  <si>
    <t>383/422</t>
  </si>
  <si>
    <t>ACTATGCCTAGTCGTAAACCTAAATAGTCCTAAAACAAGACTATTCGCCAGAGTACTATCGGCAACAGCCCAAAACTCAAAGGACTTGGCGGTGCTTCATATCCTT</t>
  </si>
  <si>
    <t>6a9c2d5770b6e78ca3450f62d67b08fc</t>
  </si>
  <si>
    <t>5/422</t>
  </si>
  <si>
    <t>ACTATGCCTAGCCCTAAACATCGATAGCGCACTACATCTGCTATCCGCCTGGGAACTACGAGCACCAGCTTGAAACCCAAAGGACTTGGCGGTGCTTTAGATCCAC</t>
  </si>
  <si>
    <t>71e6056a57e47b60dd5761bbb7128e57</t>
  </si>
  <si>
    <t>Peristedion miniatum or Ulvaria subbifurcata</t>
  </si>
  <si>
    <t>Peristedion longispatha;Peristedion miniatum;Peristedion imberbe;Ulvaria subbifurcata;Eumesogrammus praecisus</t>
  </si>
  <si>
    <t>Eumesogrammus praecisus;Peristedion greyae;Peristedion miniatum;Peristedion gracile</t>
  </si>
  <si>
    <t>103/422</t>
  </si>
  <si>
    <t>ACTATGCCTAGCCCTAAACATTGATAGTACCCTACACCCACTATCCGCCTGGGAACTACGAGCATCAGCTTGAAACCCAAAGGACTTGGCGGTGCTTTAGATCCAC</t>
  </si>
  <si>
    <t>7950b1078efc076defba9c936b970ef7</t>
  </si>
  <si>
    <t>306/422</t>
  </si>
  <si>
    <t>ACTATGCTTAGCCCTAAACTCTAATAGTTACATTAACAAAACCATTCGCCAGAGTACTACAAGCAACAGCTTAAAACTCAAAGGACTTGGCAGTGCTTTATATCCCT</t>
  </si>
  <si>
    <t>802b9659ea4cb15851b7f2501e77bb12</t>
  </si>
  <si>
    <t>Felis catus</t>
  </si>
  <si>
    <t>Felis catus;Felis margarita</t>
  </si>
  <si>
    <t>162/422</t>
  </si>
  <si>
    <t>ACTATGCTTAGCCCTAAACTTAGATAGTTACCCTAAACAAAACTATCCGCCAGAGAACTACTAGCAATAGCTTAAAACTCAAAGGACTTGGCGGTGCTTTACATCCCT</t>
  </si>
  <si>
    <t>80c040f8fa7ca320845742c52669d5e9</t>
  </si>
  <si>
    <t>mergus sp</t>
  </si>
  <si>
    <t>Mergus merganser;Unassigned;Mergus serrator</t>
  </si>
  <si>
    <t>72/422</t>
  </si>
  <si>
    <t>ACTATGCCTGGCCCTAAATCTTGATACTTACCATACCGAAGTATCCGCCAGAGAACTACGAGCACAAACGCTTGAAACTCTAAGGACTTGGCGGTGCCCTAAACCCAC</t>
  </si>
  <si>
    <t>812ed0386e2a4869a21da5634665548d</t>
  </si>
  <si>
    <t>Caranx hippos</t>
  </si>
  <si>
    <t>Caranx latus;Caranx hippos</t>
  </si>
  <si>
    <t>Caranx hippos;Caranx latus</t>
  </si>
  <si>
    <t>395/422</t>
  </si>
  <si>
    <t>ACTATGCTTAGCCTTAAACATTGATCGTTTACTACATCAAACATCCGCCCGGGAATTACGAACATTAGTTTAAAACCCAAAGGACTTGGCGGTGCTTAACATCCAC</t>
  </si>
  <si>
    <t>879319f127f42872ba2daeb54fc4135a</t>
  </si>
  <si>
    <t>Gasterosteus aculeatus</t>
  </si>
  <si>
    <t>Gasterosteus aculeatus;Gasterosteus nipponicus</t>
  </si>
  <si>
    <t>Gasterosteus aculeatus;Aulichthys japonicus;Gasterosteus nipponicus</t>
  </si>
  <si>
    <t>225/422</t>
  </si>
  <si>
    <t>ACTATGCCTAGCCCTAAACATTGATAGAATTTTACAACCACTATCCGCCCGGGGACTACAAGCATCAGCTTGAAACCCAAAGGACTTGGCGGTGCTTTAGATCCAC</t>
  </si>
  <si>
    <t>87fa60ad023e3c5c9d42fcfb40c8cf61</t>
  </si>
  <si>
    <t>Mugil rubrioculus</t>
  </si>
  <si>
    <t>Mugil curema;Mugil rubrioculus</t>
  </si>
  <si>
    <t>Mugil rubrioculus;Mugil curema</t>
  </si>
  <si>
    <t>359/422</t>
  </si>
  <si>
    <t>ACTATGCCCAGCCCTAAACTTTGATAGTCTGTCCGCACTCACTATCCGCCCGGGTACTACGAGCCCTAGCTTAAAACCCAAAGGACTTGGCGGTGCTTAAGGTCCGC</t>
  </si>
  <si>
    <t>8961e2d14d8b0510763256de80a000a2</t>
  </si>
  <si>
    <t>Clupeidae sp</t>
  </si>
  <si>
    <t>Alosa fallax;Alosa pseudoharengus;Alosa sapidissima;Alosa agone</t>
  </si>
  <si>
    <t>Alosa pseudoharengus;Alosa fallax;Alosa sapidissima</t>
  </si>
  <si>
    <t>4/422</t>
  </si>
  <si>
    <t>ACTATGCCCCGCCGTAAACTTAGATATTCCAGTACAACAAATATCCGCCAGGGGACTACGAGCGCCAGCTTAAAACCCAAAGGACTTGGCGGTGCTTCAGACCCCC</t>
  </si>
  <si>
    <t>8ea2a9236bef33ba65acfc82e6947942</t>
  </si>
  <si>
    <t>Sciurus carolinensis</t>
  </si>
  <si>
    <t>Sciurus carolinensis;Sciurus niger</t>
  </si>
  <si>
    <t>310/422</t>
  </si>
  <si>
    <t>ACTATGCTTAGCCCTAAACATAAATATTCAATTAACAAGAATATTCGCCAGAGAACTACTAGCCACTGCTTAAAACTCAAAGGACTTGGCGGTGCTTTATACCCCT</t>
  </si>
  <si>
    <t>9bcf18c30519dd344c1745a80495d5be</t>
  </si>
  <si>
    <t>Mugil cephalus</t>
  </si>
  <si>
    <t>Mugil curema;Mugil cephalus</t>
  </si>
  <si>
    <t>Mugil cephalus;Mugil curema</t>
  </si>
  <si>
    <t>240/422</t>
  </si>
  <si>
    <t>ACTATGCCCAGCCCTAAACTTTGATAATTTATCACACTCATTATCCGCCTGGGAACTACGAGCTTCAGCTTTAAACCCAAAGGACTTGGCGGTGCTTAAGATCCAC</t>
  </si>
  <si>
    <t>9e218ddde05826daea9943de26124674</t>
  </si>
  <si>
    <t>Sturnus vulgaris</t>
  </si>
  <si>
    <t>Unassigned;Acridotheres tristis;Sturnus vulgaris</t>
  </si>
  <si>
    <t>407/422</t>
  </si>
  <si>
    <t>ACTATGCCTGGCCCTAAATCTTGATGCTCTACTTTACCTGAGCGTCCGCCCGAGAACTACGAGCACAAACGCTTAAAACTCTAAGGACTTGGCGGTGTCCCAAACCCAC</t>
  </si>
  <si>
    <t>9e675ac5875629aa62e1afaedb00fbb9</t>
  </si>
  <si>
    <t>eukaryotic synthetic construct;Homo sapiens</t>
  </si>
  <si>
    <t>69/422</t>
  </si>
  <si>
    <t>TCTATGCTTAGCCCTAAACCCTAACAGTTACATTAACAAAACCATTCGCCAGAGTACTACAAGCAACAATTTAAAACTCAAAGGACTTGGTGGTGCTTTATATCCCT</t>
  </si>
  <si>
    <t>9e985443e4cd6cdec8bd0d1d325c53d9</t>
  </si>
  <si>
    <t>Urophycis sp</t>
  </si>
  <si>
    <t>Urophycis regia;Urophycis chuss;Urophycis tenuis</t>
  </si>
  <si>
    <t>Urophycis tenuis;Urophycis chuss;Urophycis regia</t>
  </si>
  <si>
    <t>98/422</t>
  </si>
  <si>
    <t>ACTATGTGTGGTCCTCAACATCGATAATTATTGTACTTAAATTATCCGCCCGGGAACTACGAGCATTAGCTTAAAACCCAAAGGACTTGGCGGTGCTTTAGACCCCC</t>
  </si>
  <si>
    <t>9f4285ab8775db6b862ee4fb416f0f5d</t>
  </si>
  <si>
    <t>Emberiza tristrami;Melospiza melodia;Pseudonestor xanthophrys;Magumma parva;Unassigned;Loxops caeruleirostris;Himatione sanguinea;Hemignathus wilsoni;Spizella passerina</t>
  </si>
  <si>
    <t>302/422</t>
  </si>
  <si>
    <t>ACTATGCCTGGCCCTAAATCTTGATGCTTACACCTACTAAAGCATCCGCCCGAGAACTACGAGCACCAACGCTTAAAACTCTAAGGACTTGGCGGTGTCCCAAACCCAC</t>
  </si>
  <si>
    <t>a4d945d1dcb107235ad37de2408c5919</t>
  </si>
  <si>
    <t>Cyprinodon variegatus</t>
  </si>
  <si>
    <t>Cyprinodon variegatus;Cyprinodon variegatus variegatus</t>
  </si>
  <si>
    <t>66/422</t>
  </si>
  <si>
    <t>ACTATGCACAGCCCTAAACTTCGATAATATCTTACAACTATTATCCGCCCGGGAACTACGAGCATTAGCTTAAAACCCAAAGGACTTGGCGGTGCTTTAGATCCCT</t>
  </si>
  <si>
    <t>a8e2bd18e133a175288a5ca87a2eb2df</t>
  </si>
  <si>
    <t>Larus delawarensis</t>
  </si>
  <si>
    <t>Larus brachyrhynchus;Larus delawarensis</t>
  </si>
  <si>
    <t>44/422</t>
  </si>
  <si>
    <t>ACTATGCCTAGCCCTAAATCTCGATGCTTGCCGTACCAAAGCATCCGCCTGAGAACTACGAGCACAAACGCTTAAAACTCTAAGGACTTGGCGGTGCCCCAAACCCAT</t>
  </si>
  <si>
    <t>b29a188a6e4589bbbcc9ae9c5e5570bd</t>
  </si>
  <si>
    <t>Lophodytes cucullatus</t>
  </si>
  <si>
    <t>Mergus octosetaceus;Lophodytes cucullatus</t>
  </si>
  <si>
    <t>90/422</t>
  </si>
  <si>
    <t>ACTATGCCTGGCCCTAAATCTTGATACTTACCGTACCGAAGTATCCGCCAGAGAACTACGAGCACAAACGCTTGAAACTCTAAGGACTTGGCGGTGCCCTAAACCCAC</t>
  </si>
  <si>
    <t>b4f42eade7a87f2cd8f3968640d83f97</t>
  </si>
  <si>
    <t>Paralichthys dentatus</t>
  </si>
  <si>
    <t>Paralichthys adspersus;Paralichthys dentatus</t>
  </si>
  <si>
    <t>Paralichthys dentatus;Paralichthys adspersus</t>
  </si>
  <si>
    <t>31/422</t>
  </si>
  <si>
    <t>ACTATGCTTAGCCCTAAACATCGATTGTATAATACACTCAATATCCGCCCGGGGATTACAAACGTTAGTTTAAAACCCAAAGGACTTGGCGGTGCTTAACATCCAC</t>
  </si>
  <si>
    <t>b98d245c042075fa94c4a01ffd4f9db8</t>
  </si>
  <si>
    <t>Peprilus triacanthus</t>
  </si>
  <si>
    <t>Peprilus triacanthus;Peprilus burti</t>
  </si>
  <si>
    <t>78/422</t>
  </si>
  <si>
    <t>ACTATGCTTAGCCGTAAACATTGATAGAGATTTACACCTTCTATCCGCCTGGGAACTACGAGCATTAGCTTAAAACCCAAAGGACTTGGCGGTACTTTAGATCCCC</t>
  </si>
  <si>
    <t>bbd6b723329db44753870a56d15bdbd6</t>
  </si>
  <si>
    <t>Sebastes fasciatus</t>
  </si>
  <si>
    <t>Sebastes fasciatus;Sebastes mentella;Sebastes constellatus;Sebastes rosaceus;Sebastes exsul;Sebastes norvegicus</t>
  </si>
  <si>
    <t>Sebastes mentella;Sebastes viviparus;Sebastes fasciatus;Sebastes norvegicus</t>
  </si>
  <si>
    <t>296/422</t>
  </si>
  <si>
    <t>ACTATGCCTAGCCCTAAACCTTGGTAACATATCACATACCCTACCCGCCTGGGAACTACGAGCACCAGCTTAAAACCCAAAGGACTTGGCGGTGCTTTAGACCCCC</t>
  </si>
  <si>
    <t>bcbd43d985c17b122ecef7c3c46ae4d1</t>
  </si>
  <si>
    <t>Pomatomus saltatrix</t>
  </si>
  <si>
    <t>Pomatomus saltator</t>
  </si>
  <si>
    <t>13/422</t>
  </si>
  <si>
    <t>ACTATGCTTAGCCGTAAACATTGATAGAATAGTACATCCCATCTATCCGCCGGGGTACTACGAGCACCAGCTTGAAACCCAAAGGACTTGGCGGTACTTTAGATCCCC</t>
  </si>
  <si>
    <t>c030ecad0cd0504068af5f150dc7b103</t>
  </si>
  <si>
    <t>Cottidae sp</t>
  </si>
  <si>
    <t>Artediellus sp. HUMZ:166735;Zesticelus profundorum;Blepsias cirrhosus;Gymnocanthus pistilliger;Gymnocanthus detrisus;Artediellus pacificus;Enophrys bison;Myoxocephalus stelleri;Dasycottus setiger;Myoxocephalus quadricornis</t>
  </si>
  <si>
    <t>Myoxocephalus octodecemspinosus;Aspidophoroides monopterygius;Artediellus uncinatus;Artediellus atlanticus;Psychrolutes sio;Myoxocephalus jaok;Gymnocanthus tricuspis</t>
  </si>
  <si>
    <t>35/422</t>
  </si>
  <si>
    <t>ACTATGCCTAGCCCTAAACATTGATAGTACTATACACCCACTATCCGCCCGGGAACTACGAGCAATAGCTTAAAACCCAAAGGACTTGGCGGTGCTTTAGATCCAC</t>
  </si>
  <si>
    <t>c08b1e5add3f762b95ae3181f79989db</t>
  </si>
  <si>
    <t>Merginae sp</t>
  </si>
  <si>
    <t>Mergellus albellus;Somateria spectabilis;Unassigned</t>
  </si>
  <si>
    <t>79/422</t>
  </si>
  <si>
    <t>ACTATGCCTGGCCCTAAATCTTGATACTTACCATACCGAAGTATCCGCCAGAGAACTACGAGCACAAACGCTTAAAACTCTAAGGACTTGGCGGTGCCCTAAACCCAC</t>
  </si>
  <si>
    <t>c20012982895b04d13de2f753fab6067</t>
  </si>
  <si>
    <t>Pholis gunnellus</t>
  </si>
  <si>
    <t>Pholis crassispina;Pholis nebulosa;Pholis ornata;Pholis gunnellus;Dictyosoma burgeri;Kasatkia memorabilis</t>
  </si>
  <si>
    <t>Pholis gunnellus;Pholis crassispina;Pholis fangi;Pholis nebulosa</t>
  </si>
  <si>
    <t>60/422</t>
  </si>
  <si>
    <t>ACTATGCCTAGCCCTAAACATTGATAGTATTATACACCCACTATCCGCCTGGGAACTACGAGCATTAGCTTAAAACCCAAAGGACTTGGCGGTGCTTTAGATCCAC</t>
  </si>
  <si>
    <t>c3c1eef842835b054ec197ec4c454a90</t>
  </si>
  <si>
    <t>Osmerus mordax</t>
  </si>
  <si>
    <t>Thaleichthys pacificus;Osmerus mordax;Osmerus mordax dentex</t>
  </si>
  <si>
    <t>Thaleichthys pacificus;Osmerus mordax</t>
  </si>
  <si>
    <t>118/422</t>
  </si>
  <si>
    <t>ACTATGCTTAGCCATAAACTTTGATATTAACTTACCCCTAATATCCGCCAGGGAACTACAAGCGTTAGCTTAAAACCCAAAGGACTTGGCGGTGCCTCACACCCAC</t>
  </si>
  <si>
    <t>c3fc0601758785a42422d73338a27546</t>
  </si>
  <si>
    <t>Myoxocephalus octodecemspinosus;Artediellus sp. HUMZ:166735;Zesticelus profundorum;Blepsias cirrhosus;Gymnocanthus pistilliger;Gymnocanthus detrisus;Artediellus pacificus;Enophrys bison;Myoxocephalus stelleri;Dasycottus setiger</t>
  </si>
  <si>
    <t>Myoxocephalus octodecemspinosus;Aspidophoroides monopterygius;Artediellus uncinatus;Artediellus atlanticus;Psychrolutes sio;Myoxocephalus jaok</t>
  </si>
  <si>
    <t>384/422</t>
  </si>
  <si>
    <t>ACTATGCCTAGCCCTAAACATTGATAGTACTATACACCCACTATCCGCCCGGGAACTACGAGCAATAGCTTAAAACCCAAAGGACTTGGCGGTGCTTTAGATCCCC</t>
  </si>
  <si>
    <t>c454cbfa342304f0b252b0244f9a823d</t>
  </si>
  <si>
    <t>Hippoglossoides robustus;Hippoglossoides elassodon;Cleisthenes herzensteini;Dexistes rikuzenius;Limanda aspera;Nesiarchus nasutus</t>
  </si>
  <si>
    <t>Hippoglossoides elassodon;Hippoglossoides robustus;Limanda aspera;Cleisthenes herzensteini;Dexistes rikuzenius</t>
  </si>
  <si>
    <t>187/422</t>
  </si>
  <si>
    <t>ACTATGCTTAGCCCTAAACATCGATTGCACCATACACTCCATATCCGCCCGGGGATTATGAACGTCAGTTTAAAACCCAAAGGACTTGGCGGTGCTTAACATCCAC</t>
  </si>
  <si>
    <t>c52bccc0b786e8759228186240c80880</t>
  </si>
  <si>
    <t>Clangula hyemalis or other Anatidae sp</t>
  </si>
  <si>
    <t>Mergellus albellus;Sarkidiornis melanotos;Hymenolaimus malacorhynchos;Netta rufina;Clangula hyemalis</t>
  </si>
  <si>
    <t>145/422</t>
  </si>
  <si>
    <t>ACTATGCCTGGCCCTAAATCTTGATACTTACCATACCAAAGTATCCGCCAGAGAACTACGAGCACAAACGCTTAAAACTCTAAGGACTTGGCGGTGCCCTAAACCCAC</t>
  </si>
  <si>
    <t>c73cefb2b4ac8de08ae0c68341cbb28f</t>
  </si>
  <si>
    <t>Histiopterus typus</t>
  </si>
  <si>
    <t>173/422</t>
  </si>
  <si>
    <t>ACTATGCCTAGCCCTAAACATCGATAGCGCACTACACCTGCTATCCGCCTGGGAACTACGAGCACCAGCTTGAAACCCAAAGGACTTGGCGGTGCTTTAGATCCAC</t>
  </si>
  <si>
    <t>c9bb5d5fc530c1dca2f73a53bb77141c</t>
  </si>
  <si>
    <t>Gadus morhua;Gadus chalcogrammus</t>
  </si>
  <si>
    <t>241/422</t>
  </si>
  <si>
    <t>ACTATGTATGGTCGTTAACATTGATGGTTTTATACCCAAACCATCCGCCTGGGAACTACGAGCAATAGCTTAAAACCCAAAGGACTTGGCGGTGCTTTAGACCCCC</t>
  </si>
  <si>
    <t>d26fe7b35e96761f43efea7dd9e9d99f</t>
  </si>
  <si>
    <t>Anguilla mossambica;Anguilla bicolor pacifica;Anguilla rostrata;Anguilla australis;Anguilla anguilla</t>
  </si>
  <si>
    <t>Anguilla australis;Anguilla mossambica;Anguilla rostrata;Anguilla anguilla;Anguilla japonica</t>
  </si>
  <si>
    <t>15/422</t>
  </si>
  <si>
    <t>ACTATGCTCAACCTTAAACAACGATGACAACATACAAATATCATCCGCCAGGGGACTACGAGCGTTAGCTTAAAACCCAAAGGACTTGGCGGTGCCTCAAACCCAC</t>
  </si>
  <si>
    <t>d4fd97e68293a29065e0fa6cdc98d899</t>
  </si>
  <si>
    <t>Pogonias cromis or Leiostomus xanthurus</t>
  </si>
  <si>
    <t>Argyrosomus regius;Totoaba macdonaldi;Leiostomus xanthurus;Pogonias cromis;Umbrina canariensis;Umbrina cirrosa</t>
  </si>
  <si>
    <t>Umbrina canariensis;Leiostomus xanthurus;Argyrosomus regius;Pogonias cromis;Totoaba macdonaldi;Nibea miichthioides</t>
  </si>
  <si>
    <t>62/422</t>
  </si>
  <si>
    <t>ACTATGCTTAGCCCTAAACATTGACAACAACATACACCTGTTGTCCGCCTGGGAACTACGAGCATCAGCTTGAAACCCAAAGGACTTGGCGGTGCTTTAGATCCAC</t>
  </si>
  <si>
    <t>d9d5fbea7a36e93d9545c7cd9047783d</t>
  </si>
  <si>
    <t>Aythya sp</t>
  </si>
  <si>
    <t>Aythya fuligula;Mergellus albellus;Aythya marila;Aythya ferina;Bucephala clangula</t>
  </si>
  <si>
    <t>73/422</t>
  </si>
  <si>
    <t>ACTATGCCTGGCCCTAAATCTTGATACTTACTATACCAAAGTATCCGCCAGAGAACTACGAGCACAAACGCTTAAAACTCTAAGGACTTGGCGGTGCCCTAAACCCAC</t>
  </si>
  <si>
    <t>de8339905c2655847248b3084379b474</t>
  </si>
  <si>
    <t>12/422</t>
  </si>
  <si>
    <t>ACTATGCCCCGCCGTAAACTTAGATATTTCAGTACAATAAATATCCGCCAGGGGACTACGAGCGCCAGCTTAAAACCCAAAGGACTTGGCGGTGCTTCAGACCCCC</t>
  </si>
  <si>
    <t>df16bf5ad89bf233d6bd539e611b029a</t>
  </si>
  <si>
    <t>Cottus cognatus;Cottus specus;Cottus carolinae;Cottus asper;Cottus rhotheus;Cottus perplexus;Cottus gulosus</t>
  </si>
  <si>
    <t>Cottus pollux;Megalocottus platycephalus;Cottus dzungaricus;Cottus asper;Cottus czerskii;Cottus cognatus</t>
  </si>
  <si>
    <t>223/422</t>
  </si>
  <si>
    <t>ACTATGCCTAGCCCTAAACATTGATAGTACTATACACCCACTATCCGCCCGGGTACTACGAGCAATAGCTTAAAACCCAAAGGACTTGGCGGTGCTTTAGATCCAC</t>
  </si>
  <si>
    <t>e7240a28d05a52722a7570029c9a880b</t>
  </si>
  <si>
    <t>42/422</t>
  </si>
  <si>
    <t>ACTATGCTTAGCCCTAAACTTCAACAGTTAAATTAACAAAACTGCTCGCCAGAACACTACGAGCCACAGCTTAAAACTCAAAGGACCTGGCGGTGCTTCATATCCCT</t>
  </si>
  <si>
    <t>e7f90ff8c7b97da66ce6d940d857e8e4</t>
  </si>
  <si>
    <t>Trachurus lathami</t>
  </si>
  <si>
    <t>Trachurus japonicus;Decapterus macarellus;Trachurus trachurus;Decapterus muroadsi;Trachurus lathami</t>
  </si>
  <si>
    <t>Trachurus lathami;Decapterus macarellus;Trachurus japonicus;Trachurus trachurus;Decapterus muroadsi</t>
  </si>
  <si>
    <t>341/422</t>
  </si>
  <si>
    <t>ACTATGCTTAGCCTTAAACATTGATTATTTATTACATCAAACATCCGCCCGGGAATTACGAACATTAGTTTAAAACCCAAAGGACTTGGCGGTGCTTAACATCCAC</t>
  </si>
  <si>
    <t>ea364c182199815b78fc2630a9b4d6be</t>
  </si>
  <si>
    <t>Pristipomoides typus;Caesio cuning</t>
  </si>
  <si>
    <t>8/422</t>
  </si>
  <si>
    <t>ACTATGCTTAGCCCTAAACCTCAACAGTTAAATCAACAAAACTGCTCGCCAGAACACTACGAGCCACAGCTTAAAACTCAAAGGACCTGGCGGTGCTTCATATCCCT</t>
  </si>
  <si>
    <t>ed00c11476e9a07d3441cb0a1073d3ab</t>
  </si>
  <si>
    <t>Etropus microstomus</t>
  </si>
  <si>
    <t>Citharichthys stigmaeus;Etropus microstomus</t>
  </si>
  <si>
    <t>Etropus microstomus;Etropus cyclosquamus;Citharichthys stigmaeus</t>
  </si>
  <si>
    <t>174/422</t>
  </si>
  <si>
    <t>ACTATGCTTAGCCCTAAACATAGAATAAACTTTACTTAATATACTCCGCCCGGGTATTACGAGCATCAGCTTAAAACCCAAAGGACTTGGCGGTGCTTTACATCCAC</t>
  </si>
  <si>
    <t>ed57094384d61f9a2dbc0c0e4ff6fb8a</t>
  </si>
  <si>
    <t>Lepomis gibbosus</t>
  </si>
  <si>
    <t>Lepomis gibbosus;Lepomis auritus</t>
  </si>
  <si>
    <t>Lepomis gibbosus;Lepomis miniatus;Lepomis microlophus</t>
  </si>
  <si>
    <t>284/422</t>
  </si>
  <si>
    <t>ACTATGCCTAGCCCTAAACATTGGCAACACCCTACATCTGTTGCCCGCCAGGAAACTACGAGCATTAGCTTAAAACCCAAAGGACTTGGCGGTGCTTTAGATCCAC</t>
  </si>
  <si>
    <t>edb60a770bbe58d0ee147058b2a1b13f</t>
  </si>
  <si>
    <t>Aythya novaeseelandiae;Bucephala clangula;Anas platyrhynchos;Bucephala islandica</t>
  </si>
  <si>
    <t>74/422</t>
  </si>
  <si>
    <t>ACTATGCCTGGCCCTAAATCTTGATACTTACTATACCGAAGTATCCGCCAGAGAACTACGAGCACAAACGCTTAAAACTCTAAGGACTTGGCGGTGCCCTAAACCCAC</t>
  </si>
  <si>
    <t>ee13e86b3851ec63b2978d6158703fe3</t>
  </si>
  <si>
    <t>Anas sp</t>
  </si>
  <si>
    <t>Anas platyrhynchos;Anas rubripes;Anas acuta;Anas diazi;Spatula clypeata</t>
  </si>
  <si>
    <t>32/422</t>
  </si>
  <si>
    <t>ACTATGCCTGGCCCTAAATCTTGATACTTACCCTACCGAAGTATCCGCCAGAGAACTACGAGCACAAACGCTTAAAACTCTAAGGACTTGGCGGTGCCCTAAACCCAC</t>
  </si>
  <si>
    <t>ef311a4fd2c77c6824ceb22df6df37fc</t>
  </si>
  <si>
    <t>7/422</t>
  </si>
  <si>
    <t>ACTATGCACAGCCGTAAACTTTGATATGATATTACAACATTATCCGCCTGGGGACTACGAGCGTAAGCTTAAAACCCAAAGGACTTGGCGGTGCTTTAGATCCAT</t>
  </si>
  <si>
    <t>f330e9fc8ac0b4fa01bf42c732e0c211</t>
  </si>
  <si>
    <t>Cynoscion regalis</t>
  </si>
  <si>
    <t>Cynoscion regalis;Cynoscion arenarius</t>
  </si>
  <si>
    <t>80/422</t>
  </si>
  <si>
    <t>ACTATGCTTAGCCTTAAACATTGACAACAACATACACCTGTTGTCCGCCTGGGTACTACGAGCATTAGCTTAAAACCCAAAGGACTTGGCGGTGCTTTAGACCCAC</t>
  </si>
  <si>
    <t>f394b999b0d2fdb6584bf0ee36f3a9db</t>
  </si>
  <si>
    <t>Lepomis macrochirus</t>
  </si>
  <si>
    <t>Lepomis macrochirus;Lepomis cyanellus</t>
  </si>
  <si>
    <t>68/422</t>
  </si>
  <si>
    <t>ACTATGCCTAGCCTTAAACATTGGCAACACTTTACACCTGCTGCCCGCCAGGAAACTACGAGCATTAGCTTAAAACCCAAAGGACTTGGCGGTGCTTTAGACCCAC</t>
  </si>
  <si>
    <t>f556ba7929a19c44f1413abb734344c3</t>
  </si>
  <si>
    <t>Cygnus olor;Callonetta leucophrys</t>
  </si>
  <si>
    <t>137/422</t>
  </si>
  <si>
    <t>ACTATGCCTGGCCCTAAATCTTGATACTTACTTTACCGAAGTATCCGCCAGAGAACTACGAGCACAAACGCTTAAAACTCTAAGGACTTGGCGGTGCCCTAAACCCAC</t>
  </si>
  <si>
    <t>f6f16c6a8940249afad3f14d90897764</t>
  </si>
  <si>
    <t>Mareca sp</t>
  </si>
  <si>
    <t>Mareca strepera;Mareca americana</t>
  </si>
  <si>
    <t>84/422</t>
  </si>
  <si>
    <t>ACTATGCCTGGCCCTAAATCTTGATACTTACCCTACCAAAGTATCCGCCAGAGAACTACGAGCACAAACGCTTAAAACTCTAAGGACTTGGCGGTGCCCTAAACCCAC</t>
  </si>
  <si>
    <t>f953066efe8f75b799b765ee588605ee</t>
  </si>
  <si>
    <t>331/422</t>
  </si>
  <si>
    <t>CCTATGCTTAGCCCTAAACCTCAACAGTTAAATCAACAAAACTGCTCGCCAGAACACTACGAGCCACAGCTTAAAACTCAAAGGACCTGGCGGTGCTTCATATCCCT</t>
  </si>
  <si>
    <t>fc6d040e1564a91e1c6d67e1e32b9022</t>
  </si>
  <si>
    <t>Rattus norvegicus</t>
  </si>
  <si>
    <t>Rattus norvegicus;uncultured prokaryote</t>
  </si>
  <si>
    <t>249/422</t>
  </si>
  <si>
    <t>ACTATGCTTAGCCCTAAACCTTAATAATTAAACCTACAAAATTATTTGCCAGAGAACTACTAGCTACAGCTTAAAACTCAAAGGACTTGGCGGTACTTTATATCCAT</t>
  </si>
  <si>
    <t>7f16ab98ac42af9e5f08ecdbb0050a7a</t>
  </si>
  <si>
    <t>Mugil curema</t>
  </si>
  <si>
    <t>Mugil curema;Mugil rubrioculus;Mugil trichodon</t>
  </si>
  <si>
    <t>50/422</t>
  </si>
  <si>
    <t>ACTATGCTCAGCCCTAAACTTTGATAGTTTTACCACACCCACTATCCGCCCGGGTACTACGAGCTTTAGCTTAAAACCCAAAGGACTTGGCGGTGCTTAAGATCCGT</t>
  </si>
  <si>
    <t>3b578403acdc73dd077d282c96f9541f</t>
  </si>
  <si>
    <t>Ophidion marginatum</t>
  </si>
  <si>
    <t>388/422</t>
  </si>
  <si>
    <t>CCCCACTATGCTAAGCCTTAAACATAGACATACTCTGTCCGCCAGGGTATTACGAGCATCAGCTTAAAACCCAAAGGACTTGGCGGTACTTTACACCCACCTAG</t>
  </si>
  <si>
    <t>2259a7bc5c7d95cb820b6a3fe68b0e08</t>
  </si>
  <si>
    <t>Ardea cinerea</t>
  </si>
  <si>
    <t>36/422</t>
  </si>
  <si>
    <t>ACTATGCTCAGCCTTAAATCTTGGTACTTAACTTACTAAAGTATCCGCCTGAGAACTACGAGCACAAACGCTTAAAACTCTAAGGACTTGGCGGTGCCCCAAACCCAC</t>
  </si>
  <si>
    <t>d3b57d4cf93def7c41d4b9baced940d9</t>
  </si>
  <si>
    <t>Canis lupus</t>
  </si>
  <si>
    <t>338/422</t>
  </si>
  <si>
    <t>ACTATGCTTAGCCGTAAACATAAATCATTCTACAACAAAATAATTCGCCAGAGAACTATTAGCAACAGCTTAAAACTCAAAGGACTTGGTGGTGCTTTATATCCCT</t>
  </si>
  <si>
    <t>dedc23ac2bedc9a49f0d9d5f2092f08a</t>
  </si>
  <si>
    <t>Sternotherus carinatus</t>
  </si>
  <si>
    <t>365/422</t>
  </si>
  <si>
    <t>ACTATGCTTAGCCCTAAACTTAGATATTTTAAATACAAAAAATATCCGCCAGAGAATTACGAGCTAAACATGCTTAAAACTCTAAGGACTTGGCGGTACCTCAAACCCAC</t>
  </si>
  <si>
    <t>8d3d1effd1abf08ff2562edb42d5c698</t>
  </si>
  <si>
    <t>364/422</t>
  </si>
  <si>
    <t>ACTATGCTTAGCCCTAAACGTAAACTGCAAACTATTCCATAATAAAATAATTCGCCCAAGAACTACTAGCAACAGCTTAAAACTCAAAGGACTTGGTGGTGCTTTCTACCCCT</t>
  </si>
  <si>
    <t>f3ca4711d94796503be4e5bbb8a6705b</t>
  </si>
  <si>
    <t>370/422</t>
  </si>
  <si>
    <t>CCCCACTATGTTTAGCCATAAACTTAAAGTTATTCACTAGAGTACTATCAGCAACAGCTTAAAACTCAAAGGACTTGGTGGTATGGTGTTTCCATCCCCCCTAG</t>
  </si>
  <si>
    <t>798cab8e6a1a556a317f78cfa6bab8ac</t>
  </si>
  <si>
    <t>Felis catus;Felis silvestris;Catopuma temminckii</t>
  </si>
  <si>
    <t>380/422</t>
  </si>
  <si>
    <t>ACTATGCTTAGCCCTAAACTTAGATAGTTATCCTAAACAAAACTATCCGCCAGAGAACTACCAGCAACAGCTTAGAACTCAAAGGACTTGGCGGTGCTTTACATCCCT</t>
  </si>
  <si>
    <t>Melospiza melodia or Spizella passerina</t>
  </si>
  <si>
    <t>Mugil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</si>
</sst>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Strand" id="{5E74B751-E369-4131-8607-BBF72C9AABFB}" userId="S::Emma.Strand@gmgi.org::cb199c47-99d2-4351-a663-5c5d31f9937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6" dT="2026-01-13T18:59:52.41" personId="{5E74B751-E369-4131-8607-BBF72C9AABFB}" id="{C7919504-E4E0-4CD6-990F-3BFE8C54A52E}">
    <text>Add 100% seq from Mugil cephalus to db?</text>
  </threadedComment>
  <threadedComment ref="F87" dT="2026-01-13T19:18:27.88" personId="{5E74B751-E369-4131-8607-BBF72C9AABFB}" id="{D78765F6-2B33-4730-9F7D-BAA7C2882829}">
    <text>Add to db?</text>
  </threadedComment>
  <threadedComment ref="F90" dT="2026-01-13T19:19:01.39" personId="{5E74B751-E369-4131-8607-BBF72C9AABFB}" id="{7E173C53-D60D-4256-8A54-08335187F8C4}">
    <text>Add to db?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topLeftCell="B67" workbookViewId="0">
      <selection activeCell="F82" sqref="F82"/>
    </sheetView>
  </sheetViews>
  <sheetFormatPr defaultRowHeight="14.4" x14ac:dyDescent="0.3"/>
  <cols>
    <col min="1" max="1" width="15.88671875" customWidth="1"/>
    <col min="2" max="2" width="12.21875" bestFit="1" customWidth="1"/>
    <col min="3" max="3" width="11.77734375" bestFit="1" customWidth="1"/>
    <col min="4" max="4" width="49.77734375" bestFit="1" customWidth="1"/>
    <col min="5" max="5" width="27" customWidth="1"/>
    <col min="6" max="6" width="32.44140625" customWidth="1"/>
    <col min="9" max="9" width="52.664062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99.057000000000002</v>
      </c>
      <c r="C2" s="2">
        <v>100</v>
      </c>
      <c r="D2" s="2" t="s">
        <v>11</v>
      </c>
      <c r="E2" s="2" t="s">
        <v>12</v>
      </c>
      <c r="F2" s="2" t="s">
        <v>12</v>
      </c>
      <c r="G2" s="2">
        <v>51</v>
      </c>
      <c r="H2" s="2" t="s">
        <v>13</v>
      </c>
      <c r="I2" s="2" t="str">
        <f>D2</f>
        <v>Anguilla rostrata</v>
      </c>
      <c r="J2" t="s">
        <v>14</v>
      </c>
    </row>
    <row r="3" spans="1:10" x14ac:dyDescent="0.3">
      <c r="A3" t="s">
        <v>15</v>
      </c>
      <c r="B3">
        <v>100</v>
      </c>
      <c r="C3">
        <v>100</v>
      </c>
      <c r="D3" t="s">
        <v>16</v>
      </c>
      <c r="E3" t="s">
        <v>17</v>
      </c>
      <c r="F3" t="s">
        <v>17</v>
      </c>
      <c r="G3">
        <v>6</v>
      </c>
      <c r="H3" t="s">
        <v>18</v>
      </c>
      <c r="I3" t="str">
        <f t="shared" ref="I3:I66" si="0">D3</f>
        <v>Ameiurus nebulosus</v>
      </c>
      <c r="J3" t="s">
        <v>19</v>
      </c>
    </row>
    <row r="4" spans="1:10" x14ac:dyDescent="0.3">
      <c r="A4" t="s">
        <v>20</v>
      </c>
      <c r="B4">
        <v>100</v>
      </c>
      <c r="C4">
        <v>100</v>
      </c>
      <c r="D4" t="s">
        <v>21</v>
      </c>
      <c r="E4" t="s">
        <v>22</v>
      </c>
      <c r="F4" t="s">
        <v>23</v>
      </c>
      <c r="G4">
        <v>1618</v>
      </c>
      <c r="H4" t="s">
        <v>24</v>
      </c>
      <c r="I4" t="str">
        <f t="shared" si="0"/>
        <v>Sphoeroides maculatus</v>
      </c>
      <c r="J4" t="s">
        <v>25</v>
      </c>
    </row>
    <row r="5" spans="1:10" x14ac:dyDescent="0.3">
      <c r="A5" t="s">
        <v>26</v>
      </c>
      <c r="B5">
        <v>100</v>
      </c>
      <c r="C5">
        <v>100</v>
      </c>
      <c r="D5" t="s">
        <v>27</v>
      </c>
      <c r="E5" t="s">
        <v>28</v>
      </c>
      <c r="F5" t="s">
        <v>29</v>
      </c>
      <c r="G5">
        <v>2000</v>
      </c>
      <c r="H5" t="s">
        <v>30</v>
      </c>
      <c r="I5" t="str">
        <f t="shared" si="0"/>
        <v>Thunnus sp</v>
      </c>
      <c r="J5" t="s">
        <v>31</v>
      </c>
    </row>
    <row r="6" spans="1:10" x14ac:dyDescent="0.3">
      <c r="A6" t="s">
        <v>32</v>
      </c>
      <c r="B6">
        <v>100</v>
      </c>
      <c r="C6">
        <v>100</v>
      </c>
      <c r="D6" t="s">
        <v>33</v>
      </c>
      <c r="F6" t="s">
        <v>34</v>
      </c>
      <c r="G6">
        <v>540</v>
      </c>
      <c r="H6" t="s">
        <v>35</v>
      </c>
      <c r="I6" t="str">
        <f t="shared" si="0"/>
        <v>Homo sapiens</v>
      </c>
      <c r="J6" t="s">
        <v>36</v>
      </c>
    </row>
    <row r="7" spans="1:10" x14ac:dyDescent="0.3">
      <c r="A7" t="s">
        <v>37</v>
      </c>
      <c r="B7">
        <v>100</v>
      </c>
      <c r="C7">
        <v>100</v>
      </c>
      <c r="D7" t="s">
        <v>38</v>
      </c>
      <c r="E7" t="s">
        <v>39</v>
      </c>
      <c r="F7" t="s">
        <v>40</v>
      </c>
      <c r="G7">
        <v>215802</v>
      </c>
      <c r="H7" t="s">
        <v>41</v>
      </c>
      <c r="I7" t="str">
        <f t="shared" si="0"/>
        <v>Brevoortia tyrannus</v>
      </c>
      <c r="J7" t="s">
        <v>42</v>
      </c>
    </row>
    <row r="8" spans="1:10" x14ac:dyDescent="0.3">
      <c r="A8" t="s">
        <v>43</v>
      </c>
      <c r="B8">
        <v>100</v>
      </c>
      <c r="C8">
        <v>100</v>
      </c>
      <c r="D8" t="s">
        <v>44</v>
      </c>
      <c r="E8" t="s">
        <v>45</v>
      </c>
      <c r="F8" t="s">
        <v>46</v>
      </c>
      <c r="G8">
        <v>185</v>
      </c>
      <c r="H8" t="s">
        <v>47</v>
      </c>
      <c r="I8" t="str">
        <f t="shared" si="0"/>
        <v>Engraulis eurystole</v>
      </c>
      <c r="J8" t="s">
        <v>48</v>
      </c>
    </row>
    <row r="9" spans="1:10" x14ac:dyDescent="0.3">
      <c r="A9" t="s">
        <v>49</v>
      </c>
      <c r="B9">
        <v>100</v>
      </c>
      <c r="C9">
        <v>100</v>
      </c>
      <c r="D9" t="s">
        <v>50</v>
      </c>
      <c r="E9" t="s">
        <v>51</v>
      </c>
      <c r="F9" t="s">
        <v>52</v>
      </c>
      <c r="G9">
        <v>55158</v>
      </c>
      <c r="H9" t="s">
        <v>53</v>
      </c>
      <c r="I9" t="str">
        <f t="shared" si="0"/>
        <v>Pseudopleuronectes americanus or Myzopsetta ferruginea</v>
      </c>
      <c r="J9" t="s">
        <v>54</v>
      </c>
    </row>
    <row r="10" spans="1:10" x14ac:dyDescent="0.3">
      <c r="A10" t="s">
        <v>55</v>
      </c>
      <c r="B10">
        <v>100</v>
      </c>
      <c r="C10">
        <v>100</v>
      </c>
      <c r="D10" t="s">
        <v>33</v>
      </c>
      <c r="F10" t="s">
        <v>56</v>
      </c>
      <c r="G10">
        <v>922</v>
      </c>
      <c r="H10" t="s">
        <v>57</v>
      </c>
      <c r="I10" t="str">
        <f t="shared" si="0"/>
        <v>Homo sapiens</v>
      </c>
      <c r="J10" t="s">
        <v>58</v>
      </c>
    </row>
    <row r="11" spans="1:10" x14ac:dyDescent="0.3">
      <c r="A11" t="s">
        <v>59</v>
      </c>
      <c r="B11">
        <v>99.064999999999998</v>
      </c>
      <c r="C11">
        <v>100</v>
      </c>
      <c r="D11" t="s">
        <v>33</v>
      </c>
      <c r="F11" t="s">
        <v>60</v>
      </c>
      <c r="G11">
        <v>217</v>
      </c>
      <c r="H11" t="s">
        <v>61</v>
      </c>
      <c r="I11" t="str">
        <f t="shared" si="0"/>
        <v>Homo sapiens</v>
      </c>
      <c r="J11" t="s">
        <v>62</v>
      </c>
    </row>
    <row r="12" spans="1:10" x14ac:dyDescent="0.3">
      <c r="A12" t="s">
        <v>63</v>
      </c>
      <c r="B12">
        <v>100</v>
      </c>
      <c r="C12">
        <v>100</v>
      </c>
      <c r="D12" t="s">
        <v>64</v>
      </c>
      <c r="E12" t="s">
        <v>65</v>
      </c>
      <c r="F12" t="s">
        <v>66</v>
      </c>
      <c r="G12">
        <v>51</v>
      </c>
      <c r="H12" t="s">
        <v>67</v>
      </c>
      <c r="I12" t="str">
        <f t="shared" si="0"/>
        <v>Esox americanus or niger</v>
      </c>
      <c r="J12" t="s">
        <v>68</v>
      </c>
    </row>
    <row r="13" spans="1:10" x14ac:dyDescent="0.3">
      <c r="A13" t="s">
        <v>69</v>
      </c>
      <c r="B13">
        <v>100</v>
      </c>
      <c r="C13">
        <v>100</v>
      </c>
      <c r="D13" t="s">
        <v>70</v>
      </c>
      <c r="E13" t="s">
        <v>71</v>
      </c>
      <c r="F13" t="s">
        <v>72</v>
      </c>
      <c r="G13">
        <v>50</v>
      </c>
      <c r="H13" t="s">
        <v>73</v>
      </c>
      <c r="I13" t="str">
        <f t="shared" si="0"/>
        <v>Ammodytes dubius</v>
      </c>
      <c r="J13" t="s">
        <v>74</v>
      </c>
    </row>
    <row r="14" spans="1:10" x14ac:dyDescent="0.3">
      <c r="A14" t="s">
        <v>75</v>
      </c>
      <c r="B14">
        <v>100</v>
      </c>
      <c r="C14">
        <v>100</v>
      </c>
      <c r="D14" t="s">
        <v>33</v>
      </c>
      <c r="F14" t="s">
        <v>76</v>
      </c>
      <c r="G14">
        <v>1072</v>
      </c>
      <c r="H14" t="s">
        <v>77</v>
      </c>
      <c r="I14" t="str">
        <f t="shared" si="0"/>
        <v>Homo sapiens</v>
      </c>
      <c r="J14" t="s">
        <v>78</v>
      </c>
    </row>
    <row r="15" spans="1:10" x14ac:dyDescent="0.3">
      <c r="A15" t="s">
        <v>79</v>
      </c>
      <c r="B15">
        <v>100</v>
      </c>
      <c r="C15">
        <v>100</v>
      </c>
      <c r="D15" t="s">
        <v>33</v>
      </c>
      <c r="F15" t="s">
        <v>80</v>
      </c>
      <c r="G15">
        <v>35</v>
      </c>
      <c r="H15" t="s">
        <v>81</v>
      </c>
      <c r="I15" t="str">
        <f t="shared" si="0"/>
        <v>Homo sapiens</v>
      </c>
      <c r="J15" t="s">
        <v>82</v>
      </c>
    </row>
    <row r="16" spans="1:10" x14ac:dyDescent="0.3">
      <c r="A16" t="s">
        <v>83</v>
      </c>
      <c r="B16">
        <v>100</v>
      </c>
      <c r="C16">
        <v>100</v>
      </c>
      <c r="D16" t="s">
        <v>84</v>
      </c>
      <c r="F16" t="s">
        <v>85</v>
      </c>
      <c r="G16">
        <v>1063</v>
      </c>
      <c r="H16" t="s">
        <v>86</v>
      </c>
      <c r="I16" t="str">
        <f t="shared" si="0"/>
        <v>Gavia immer</v>
      </c>
      <c r="J16" t="s">
        <v>87</v>
      </c>
    </row>
    <row r="17" spans="1:10" x14ac:dyDescent="0.3">
      <c r="A17" t="s">
        <v>88</v>
      </c>
      <c r="B17">
        <v>100</v>
      </c>
      <c r="C17">
        <v>100</v>
      </c>
      <c r="D17" t="s">
        <v>89</v>
      </c>
      <c r="F17" t="s">
        <v>90</v>
      </c>
      <c r="G17">
        <v>59</v>
      </c>
      <c r="H17" t="s">
        <v>91</v>
      </c>
      <c r="I17" t="str">
        <f t="shared" si="0"/>
        <v>Anatidae sp</v>
      </c>
      <c r="J17" t="s">
        <v>92</v>
      </c>
    </row>
    <row r="18" spans="1:10" x14ac:dyDescent="0.3">
      <c r="A18" t="s">
        <v>93</v>
      </c>
      <c r="B18">
        <v>100</v>
      </c>
      <c r="C18">
        <v>100</v>
      </c>
      <c r="D18" t="s">
        <v>94</v>
      </c>
      <c r="F18" t="s">
        <v>95</v>
      </c>
      <c r="G18">
        <v>20949</v>
      </c>
      <c r="H18" t="s">
        <v>96</v>
      </c>
      <c r="I18" t="str">
        <f t="shared" si="0"/>
        <v>Larus sp</v>
      </c>
      <c r="J18" t="s">
        <v>97</v>
      </c>
    </row>
    <row r="19" spans="1:10" x14ac:dyDescent="0.3">
      <c r="A19" t="s">
        <v>98</v>
      </c>
      <c r="B19">
        <v>100</v>
      </c>
      <c r="C19">
        <v>100</v>
      </c>
      <c r="D19" t="s">
        <v>99</v>
      </c>
      <c r="F19" t="s">
        <v>100</v>
      </c>
      <c r="G19">
        <v>235</v>
      </c>
      <c r="H19" t="s">
        <v>101</v>
      </c>
      <c r="I19" t="str">
        <f t="shared" si="0"/>
        <v>Larus atricilla</v>
      </c>
      <c r="J19" t="s">
        <v>102</v>
      </c>
    </row>
    <row r="20" spans="1:10" x14ac:dyDescent="0.3">
      <c r="A20" t="s">
        <v>103</v>
      </c>
      <c r="B20">
        <v>100</v>
      </c>
      <c r="C20">
        <v>100</v>
      </c>
      <c r="D20" t="s">
        <v>104</v>
      </c>
      <c r="E20" t="s">
        <v>105</v>
      </c>
      <c r="F20" t="s">
        <v>104</v>
      </c>
      <c r="G20">
        <v>66</v>
      </c>
      <c r="H20" t="s">
        <v>106</v>
      </c>
      <c r="I20" t="str">
        <f t="shared" si="0"/>
        <v>Pomoxis nigromaculatus</v>
      </c>
      <c r="J20" t="s">
        <v>107</v>
      </c>
    </row>
    <row r="21" spans="1:10" x14ac:dyDescent="0.3">
      <c r="A21" t="s">
        <v>108</v>
      </c>
      <c r="B21">
        <v>100</v>
      </c>
      <c r="C21">
        <v>100</v>
      </c>
      <c r="D21" t="s">
        <v>109</v>
      </c>
      <c r="E21" t="s">
        <v>110</v>
      </c>
      <c r="F21" t="s">
        <v>110</v>
      </c>
      <c r="G21">
        <v>12</v>
      </c>
      <c r="H21" t="s">
        <v>111</v>
      </c>
      <c r="I21" t="str">
        <f t="shared" si="0"/>
        <v>Scomberesox saurus</v>
      </c>
      <c r="J21" t="s">
        <v>112</v>
      </c>
    </row>
    <row r="22" spans="1:10" x14ac:dyDescent="0.3">
      <c r="A22" t="s">
        <v>113</v>
      </c>
      <c r="B22">
        <v>100</v>
      </c>
      <c r="C22">
        <v>100</v>
      </c>
      <c r="D22" t="s">
        <v>114</v>
      </c>
      <c r="E22" t="s">
        <v>115</v>
      </c>
      <c r="F22" t="s">
        <v>116</v>
      </c>
      <c r="G22">
        <v>56</v>
      </c>
      <c r="H22" t="s">
        <v>117</v>
      </c>
      <c r="I22" t="str">
        <f t="shared" si="0"/>
        <v>Pungitius pungitius</v>
      </c>
      <c r="J22" t="s">
        <v>118</v>
      </c>
    </row>
    <row r="23" spans="1:10" x14ac:dyDescent="0.3">
      <c r="A23" t="s">
        <v>119</v>
      </c>
      <c r="B23">
        <v>100</v>
      </c>
      <c r="C23">
        <v>100</v>
      </c>
      <c r="D23" t="s">
        <v>120</v>
      </c>
      <c r="E23" t="s">
        <v>121</v>
      </c>
      <c r="F23" t="s">
        <v>122</v>
      </c>
      <c r="G23">
        <v>202</v>
      </c>
      <c r="H23" t="s">
        <v>123</v>
      </c>
      <c r="I23" t="str">
        <f t="shared" si="0"/>
        <v>Clupea harengus</v>
      </c>
      <c r="J23" t="s">
        <v>124</v>
      </c>
    </row>
    <row r="24" spans="1:10" x14ac:dyDescent="0.3">
      <c r="A24" t="s">
        <v>125</v>
      </c>
      <c r="B24">
        <v>100</v>
      </c>
      <c r="C24">
        <v>100</v>
      </c>
      <c r="D24" t="s">
        <v>126</v>
      </c>
      <c r="F24" t="s">
        <v>127</v>
      </c>
      <c r="G24">
        <v>26</v>
      </c>
      <c r="H24" t="s">
        <v>128</v>
      </c>
      <c r="I24" t="str">
        <f t="shared" si="0"/>
        <v>Sylvilagus floridanus</v>
      </c>
      <c r="J24" t="s">
        <v>129</v>
      </c>
    </row>
    <row r="25" spans="1:10" x14ac:dyDescent="0.3">
      <c r="A25" t="s">
        <v>130</v>
      </c>
      <c r="B25" s="2">
        <v>99.057000000000002</v>
      </c>
      <c r="C25" s="2">
        <v>100</v>
      </c>
      <c r="D25" s="2" t="s">
        <v>131</v>
      </c>
      <c r="E25" s="2" t="s">
        <v>132</v>
      </c>
      <c r="F25" s="2" t="s">
        <v>132</v>
      </c>
      <c r="G25" s="2">
        <v>13</v>
      </c>
      <c r="H25" s="2" t="s">
        <v>133</v>
      </c>
      <c r="I25" s="2" t="str">
        <f t="shared" si="0"/>
        <v>Gadus morhua or Melanogrammus aeglefinus</v>
      </c>
      <c r="J25" t="s">
        <v>134</v>
      </c>
    </row>
    <row r="26" spans="1:10" x14ac:dyDescent="0.3">
      <c r="A26" t="s">
        <v>135</v>
      </c>
      <c r="B26" s="2">
        <v>99.057000000000002</v>
      </c>
      <c r="C26" s="2">
        <v>100</v>
      </c>
      <c r="D26" s="2" t="s">
        <v>126</v>
      </c>
      <c r="E26" s="2"/>
      <c r="F26" s="2" t="s">
        <v>136</v>
      </c>
      <c r="G26" s="2">
        <v>86</v>
      </c>
      <c r="H26" s="2" t="s">
        <v>137</v>
      </c>
      <c r="I26" s="2" t="str">
        <f t="shared" si="0"/>
        <v>Sylvilagus floridanus</v>
      </c>
      <c r="J26" t="s">
        <v>138</v>
      </c>
    </row>
    <row r="27" spans="1:10" x14ac:dyDescent="0.3">
      <c r="A27" t="s">
        <v>139</v>
      </c>
      <c r="B27">
        <v>100</v>
      </c>
      <c r="C27">
        <v>100</v>
      </c>
      <c r="D27" t="s">
        <v>140</v>
      </c>
      <c r="E27" t="s">
        <v>141</v>
      </c>
      <c r="F27" t="s">
        <v>141</v>
      </c>
      <c r="G27">
        <v>12434</v>
      </c>
      <c r="H27" t="s">
        <v>142</v>
      </c>
      <c r="I27" t="str">
        <f t="shared" si="0"/>
        <v>Ammodytes americanus</v>
      </c>
      <c r="J27" t="s">
        <v>143</v>
      </c>
    </row>
    <row r="28" spans="1:10" x14ac:dyDescent="0.3">
      <c r="A28" t="s">
        <v>144</v>
      </c>
      <c r="B28">
        <v>100</v>
      </c>
      <c r="C28">
        <v>100</v>
      </c>
      <c r="D28" t="s">
        <v>145</v>
      </c>
      <c r="F28" t="s">
        <v>146</v>
      </c>
      <c r="G28">
        <v>16</v>
      </c>
      <c r="H28" t="s">
        <v>147</v>
      </c>
      <c r="I28" t="str">
        <f t="shared" si="0"/>
        <v>Passer domesticus</v>
      </c>
      <c r="J28" t="s">
        <v>148</v>
      </c>
    </row>
    <row r="29" spans="1:10" x14ac:dyDescent="0.3">
      <c r="A29" t="s">
        <v>149</v>
      </c>
      <c r="B29">
        <v>100</v>
      </c>
      <c r="C29">
        <v>100</v>
      </c>
      <c r="D29" t="s">
        <v>150</v>
      </c>
      <c r="E29" t="s">
        <v>151</v>
      </c>
      <c r="F29" t="s">
        <v>152</v>
      </c>
      <c r="G29">
        <v>11901</v>
      </c>
      <c r="H29" t="s">
        <v>153</v>
      </c>
      <c r="I29" t="str">
        <f t="shared" si="0"/>
        <v>Lucania parva</v>
      </c>
      <c r="J29" t="s">
        <v>154</v>
      </c>
    </row>
    <row r="30" spans="1:10" x14ac:dyDescent="0.3">
      <c r="A30" t="s">
        <v>155</v>
      </c>
      <c r="B30">
        <v>100</v>
      </c>
      <c r="C30">
        <v>100</v>
      </c>
      <c r="D30" t="s">
        <v>89</v>
      </c>
      <c r="F30" t="s">
        <v>90</v>
      </c>
      <c r="G30">
        <v>5853</v>
      </c>
      <c r="H30" t="s">
        <v>156</v>
      </c>
      <c r="I30" t="str">
        <f t="shared" si="0"/>
        <v>Anatidae sp</v>
      </c>
      <c r="J30" t="s">
        <v>157</v>
      </c>
    </row>
    <row r="31" spans="1:10" x14ac:dyDescent="0.3">
      <c r="A31" t="s">
        <v>158</v>
      </c>
      <c r="B31">
        <v>100</v>
      </c>
      <c r="C31">
        <v>100</v>
      </c>
      <c r="D31" t="s">
        <v>159</v>
      </c>
      <c r="F31" t="s">
        <v>160</v>
      </c>
      <c r="G31">
        <v>892</v>
      </c>
      <c r="H31" t="s">
        <v>161</v>
      </c>
      <c r="I31" t="str">
        <f t="shared" si="0"/>
        <v>Cystophora cristata or Halichoerus grypus or Phoca vitulina</v>
      </c>
      <c r="J31" t="s">
        <v>162</v>
      </c>
    </row>
    <row r="32" spans="1:10" x14ac:dyDescent="0.3">
      <c r="A32" t="s">
        <v>163</v>
      </c>
      <c r="B32">
        <v>100</v>
      </c>
      <c r="C32">
        <v>100</v>
      </c>
      <c r="D32" t="s">
        <v>164</v>
      </c>
      <c r="E32" t="s">
        <v>165</v>
      </c>
      <c r="F32" t="s">
        <v>166</v>
      </c>
      <c r="G32">
        <v>15</v>
      </c>
      <c r="H32" t="s">
        <v>167</v>
      </c>
      <c r="I32" t="str">
        <f t="shared" si="0"/>
        <v>Fundulus majalis</v>
      </c>
      <c r="J32" t="s">
        <v>168</v>
      </c>
    </row>
    <row r="33" spans="1:10" x14ac:dyDescent="0.3">
      <c r="A33" t="s">
        <v>169</v>
      </c>
      <c r="B33">
        <v>100</v>
      </c>
      <c r="C33">
        <v>100</v>
      </c>
      <c r="D33" t="s">
        <v>170</v>
      </c>
      <c r="E33" t="s">
        <v>171</v>
      </c>
      <c r="F33" t="s">
        <v>172</v>
      </c>
      <c r="G33">
        <v>130</v>
      </c>
      <c r="H33" t="s">
        <v>173</v>
      </c>
      <c r="I33" t="str">
        <f t="shared" si="0"/>
        <v>Acipenser sp</v>
      </c>
      <c r="J33" t="s">
        <v>174</v>
      </c>
    </row>
    <row r="34" spans="1:10" x14ac:dyDescent="0.3">
      <c r="A34" t="s">
        <v>175</v>
      </c>
      <c r="B34">
        <v>100</v>
      </c>
      <c r="C34">
        <v>100</v>
      </c>
      <c r="D34" t="s">
        <v>176</v>
      </c>
      <c r="F34" t="s">
        <v>177</v>
      </c>
      <c r="G34">
        <v>7502</v>
      </c>
      <c r="H34" t="s">
        <v>178</v>
      </c>
      <c r="I34" t="str">
        <f t="shared" si="0"/>
        <v>Nannopterum auritum</v>
      </c>
      <c r="J34" t="s">
        <v>179</v>
      </c>
    </row>
    <row r="35" spans="1:10" x14ac:dyDescent="0.3">
      <c r="A35" t="s">
        <v>180</v>
      </c>
      <c r="B35">
        <v>100</v>
      </c>
      <c r="C35">
        <v>100</v>
      </c>
      <c r="D35" t="s">
        <v>181</v>
      </c>
      <c r="F35" t="s">
        <v>182</v>
      </c>
      <c r="G35">
        <v>19</v>
      </c>
      <c r="H35" t="s">
        <v>183</v>
      </c>
      <c r="I35" t="str">
        <f t="shared" si="0"/>
        <v>Phocoena phocoena</v>
      </c>
      <c r="J35" t="s">
        <v>184</v>
      </c>
    </row>
    <row r="36" spans="1:10" x14ac:dyDescent="0.3">
      <c r="A36" t="s">
        <v>185</v>
      </c>
      <c r="B36">
        <v>100</v>
      </c>
      <c r="C36">
        <v>100</v>
      </c>
      <c r="D36" t="s">
        <v>70</v>
      </c>
      <c r="E36" t="s">
        <v>71</v>
      </c>
      <c r="F36" t="s">
        <v>72</v>
      </c>
      <c r="G36">
        <v>56436</v>
      </c>
      <c r="H36" t="s">
        <v>186</v>
      </c>
      <c r="I36" t="str">
        <f t="shared" si="0"/>
        <v>Ammodytes dubius</v>
      </c>
      <c r="J36" t="s">
        <v>187</v>
      </c>
    </row>
    <row r="37" spans="1:10" x14ac:dyDescent="0.3">
      <c r="A37" t="s">
        <v>188</v>
      </c>
      <c r="B37">
        <v>100</v>
      </c>
      <c r="C37">
        <v>100</v>
      </c>
      <c r="D37" t="s">
        <v>189</v>
      </c>
      <c r="E37" t="s">
        <v>190</v>
      </c>
      <c r="F37" t="s">
        <v>191</v>
      </c>
      <c r="G37">
        <v>352</v>
      </c>
      <c r="H37" t="s">
        <v>192</v>
      </c>
      <c r="I37" t="str">
        <f t="shared" si="0"/>
        <v>Peristedion miniatum or Ulvaria subbifurcata</v>
      </c>
      <c r="J37" t="s">
        <v>193</v>
      </c>
    </row>
    <row r="38" spans="1:10" x14ac:dyDescent="0.3">
      <c r="A38" t="s">
        <v>194</v>
      </c>
      <c r="B38">
        <v>100</v>
      </c>
      <c r="C38">
        <v>100</v>
      </c>
      <c r="D38" t="s">
        <v>33</v>
      </c>
      <c r="F38" t="s">
        <v>76</v>
      </c>
      <c r="G38">
        <v>54</v>
      </c>
      <c r="H38" t="s">
        <v>195</v>
      </c>
      <c r="I38" t="str">
        <f t="shared" si="0"/>
        <v>Homo sapiens</v>
      </c>
      <c r="J38" t="s">
        <v>196</v>
      </c>
    </row>
    <row r="39" spans="1:10" x14ac:dyDescent="0.3">
      <c r="A39" t="s">
        <v>197</v>
      </c>
      <c r="B39">
        <v>100</v>
      </c>
      <c r="C39">
        <v>100</v>
      </c>
      <c r="D39" t="s">
        <v>198</v>
      </c>
      <c r="F39" t="s">
        <v>199</v>
      </c>
      <c r="G39">
        <v>151</v>
      </c>
      <c r="H39" t="s">
        <v>200</v>
      </c>
      <c r="I39" t="str">
        <f t="shared" si="0"/>
        <v>Felis catus</v>
      </c>
      <c r="J39" t="s">
        <v>201</v>
      </c>
    </row>
    <row r="40" spans="1:10" x14ac:dyDescent="0.3">
      <c r="A40" t="s">
        <v>202</v>
      </c>
      <c r="B40">
        <v>100</v>
      </c>
      <c r="C40">
        <v>100</v>
      </c>
      <c r="D40" t="s">
        <v>203</v>
      </c>
      <c r="F40" t="s">
        <v>204</v>
      </c>
      <c r="G40">
        <v>714</v>
      </c>
      <c r="H40" t="s">
        <v>205</v>
      </c>
      <c r="I40" t="str">
        <f t="shared" si="0"/>
        <v>mergus sp</v>
      </c>
      <c r="J40" t="s">
        <v>206</v>
      </c>
    </row>
    <row r="41" spans="1:10" x14ac:dyDescent="0.3">
      <c r="A41" t="s">
        <v>207</v>
      </c>
      <c r="B41">
        <v>100</v>
      </c>
      <c r="C41">
        <v>100</v>
      </c>
      <c r="D41" t="s">
        <v>208</v>
      </c>
      <c r="E41" t="s">
        <v>209</v>
      </c>
      <c r="F41" t="s">
        <v>210</v>
      </c>
      <c r="G41">
        <v>14</v>
      </c>
      <c r="H41" t="s">
        <v>211</v>
      </c>
      <c r="I41" t="str">
        <f t="shared" si="0"/>
        <v>Caranx hippos</v>
      </c>
      <c r="J41" t="s">
        <v>212</v>
      </c>
    </row>
    <row r="42" spans="1:10" x14ac:dyDescent="0.3">
      <c r="A42" t="s">
        <v>213</v>
      </c>
      <c r="B42">
        <v>100</v>
      </c>
      <c r="C42">
        <v>100</v>
      </c>
      <c r="D42" t="s">
        <v>214</v>
      </c>
      <c r="E42" t="s">
        <v>215</v>
      </c>
      <c r="F42" t="s">
        <v>216</v>
      </c>
      <c r="G42">
        <v>94</v>
      </c>
      <c r="H42" t="s">
        <v>217</v>
      </c>
      <c r="I42" t="str">
        <f t="shared" si="0"/>
        <v>Gasterosteus aculeatus</v>
      </c>
      <c r="J42" t="s">
        <v>218</v>
      </c>
    </row>
    <row r="43" spans="1:10" x14ac:dyDescent="0.3">
      <c r="A43" t="s">
        <v>219</v>
      </c>
      <c r="B43">
        <v>100</v>
      </c>
      <c r="C43">
        <v>100</v>
      </c>
      <c r="D43" t="s">
        <v>220</v>
      </c>
      <c r="E43" t="s">
        <v>221</v>
      </c>
      <c r="F43" t="s">
        <v>222</v>
      </c>
      <c r="G43">
        <v>30</v>
      </c>
      <c r="H43" t="s">
        <v>223</v>
      </c>
      <c r="I43" t="str">
        <f t="shared" si="0"/>
        <v>Mugil rubrioculus</v>
      </c>
      <c r="J43" t="s">
        <v>224</v>
      </c>
    </row>
    <row r="44" spans="1:10" x14ac:dyDescent="0.3">
      <c r="A44" t="s">
        <v>225</v>
      </c>
      <c r="B44">
        <v>100</v>
      </c>
      <c r="C44">
        <v>100</v>
      </c>
      <c r="D44" t="s">
        <v>226</v>
      </c>
      <c r="E44" t="s">
        <v>227</v>
      </c>
      <c r="F44" t="s">
        <v>228</v>
      </c>
      <c r="G44">
        <v>188456</v>
      </c>
      <c r="H44" t="s">
        <v>229</v>
      </c>
      <c r="I44" t="str">
        <f t="shared" si="0"/>
        <v>Clupeidae sp</v>
      </c>
      <c r="J44" t="s">
        <v>230</v>
      </c>
    </row>
    <row r="45" spans="1:10" x14ac:dyDescent="0.3">
      <c r="A45" t="s">
        <v>231</v>
      </c>
      <c r="B45">
        <v>100</v>
      </c>
      <c r="C45">
        <v>100</v>
      </c>
      <c r="D45" t="s">
        <v>232</v>
      </c>
      <c r="F45" t="s">
        <v>233</v>
      </c>
      <c r="G45">
        <v>53</v>
      </c>
      <c r="H45" t="s">
        <v>234</v>
      </c>
      <c r="I45" t="str">
        <f t="shared" si="0"/>
        <v>Sciurus carolinensis</v>
      </c>
      <c r="J45" t="s">
        <v>235</v>
      </c>
    </row>
    <row r="46" spans="1:10" x14ac:dyDescent="0.3">
      <c r="A46" t="s">
        <v>236</v>
      </c>
      <c r="B46" s="2">
        <v>98.113</v>
      </c>
      <c r="C46" s="2">
        <v>100</v>
      </c>
      <c r="D46" s="2" t="s">
        <v>237</v>
      </c>
      <c r="E46" s="2" t="s">
        <v>238</v>
      </c>
      <c r="F46" s="2" t="s">
        <v>239</v>
      </c>
      <c r="G46" s="2">
        <v>85</v>
      </c>
      <c r="H46" s="2" t="s">
        <v>240</v>
      </c>
      <c r="I46" s="2" t="str">
        <f t="shared" si="0"/>
        <v>Mugil cephalus</v>
      </c>
      <c r="J46" t="s">
        <v>241</v>
      </c>
    </row>
    <row r="47" spans="1:10" x14ac:dyDescent="0.3">
      <c r="A47" t="s">
        <v>242</v>
      </c>
      <c r="B47">
        <v>100</v>
      </c>
      <c r="C47">
        <v>100</v>
      </c>
      <c r="D47" t="s">
        <v>243</v>
      </c>
      <c r="F47" t="s">
        <v>244</v>
      </c>
      <c r="G47">
        <v>7</v>
      </c>
      <c r="H47" t="s">
        <v>245</v>
      </c>
      <c r="I47" t="str">
        <f t="shared" si="0"/>
        <v>Sturnus vulgaris</v>
      </c>
      <c r="J47" t="s">
        <v>246</v>
      </c>
    </row>
    <row r="48" spans="1:10" x14ac:dyDescent="0.3">
      <c r="A48" t="s">
        <v>247</v>
      </c>
      <c r="B48">
        <v>100</v>
      </c>
      <c r="C48">
        <v>100</v>
      </c>
      <c r="D48" t="s">
        <v>33</v>
      </c>
      <c r="F48" t="s">
        <v>248</v>
      </c>
      <c r="G48">
        <v>775</v>
      </c>
      <c r="H48" t="s">
        <v>249</v>
      </c>
      <c r="I48" t="str">
        <f t="shared" si="0"/>
        <v>Homo sapiens</v>
      </c>
      <c r="J48" t="s">
        <v>250</v>
      </c>
    </row>
    <row r="49" spans="1:10" x14ac:dyDescent="0.3">
      <c r="A49" t="s">
        <v>251</v>
      </c>
      <c r="B49">
        <v>100</v>
      </c>
      <c r="C49">
        <v>100</v>
      </c>
      <c r="D49" t="s">
        <v>252</v>
      </c>
      <c r="E49" t="s">
        <v>253</v>
      </c>
      <c r="F49" t="s">
        <v>254</v>
      </c>
      <c r="G49">
        <v>389</v>
      </c>
      <c r="H49" t="s">
        <v>255</v>
      </c>
      <c r="I49" t="str">
        <f t="shared" si="0"/>
        <v>Urophycis sp</v>
      </c>
      <c r="J49" t="s">
        <v>256</v>
      </c>
    </row>
    <row r="50" spans="1:10" x14ac:dyDescent="0.3">
      <c r="A50" t="s">
        <v>257</v>
      </c>
      <c r="B50">
        <v>100</v>
      </c>
      <c r="C50">
        <v>100</v>
      </c>
      <c r="D50" t="s">
        <v>463</v>
      </c>
      <c r="F50" t="s">
        <v>258</v>
      </c>
      <c r="G50">
        <v>55</v>
      </c>
      <c r="H50" t="s">
        <v>259</v>
      </c>
      <c r="I50" t="str">
        <f t="shared" si="0"/>
        <v>Melospiza melodia or Spizella passerina</v>
      </c>
      <c r="J50" t="s">
        <v>260</v>
      </c>
    </row>
    <row r="51" spans="1:10" x14ac:dyDescent="0.3">
      <c r="A51" t="s">
        <v>261</v>
      </c>
      <c r="B51">
        <v>100</v>
      </c>
      <c r="C51">
        <v>100</v>
      </c>
      <c r="D51" t="s">
        <v>262</v>
      </c>
      <c r="E51" t="s">
        <v>263</v>
      </c>
      <c r="F51" t="s">
        <v>262</v>
      </c>
      <c r="G51">
        <v>862</v>
      </c>
      <c r="H51" t="s">
        <v>264</v>
      </c>
      <c r="I51" t="str">
        <f t="shared" si="0"/>
        <v>Cyprinodon variegatus</v>
      </c>
      <c r="J51" t="s">
        <v>265</v>
      </c>
    </row>
    <row r="52" spans="1:10" x14ac:dyDescent="0.3">
      <c r="A52" t="s">
        <v>266</v>
      </c>
      <c r="B52">
        <v>100</v>
      </c>
      <c r="C52">
        <v>100</v>
      </c>
      <c r="D52" t="s">
        <v>267</v>
      </c>
      <c r="F52" t="s">
        <v>268</v>
      </c>
      <c r="G52">
        <v>1948</v>
      </c>
      <c r="H52" t="s">
        <v>269</v>
      </c>
      <c r="I52" t="str">
        <f t="shared" si="0"/>
        <v>Larus delawarensis</v>
      </c>
      <c r="J52" t="s">
        <v>270</v>
      </c>
    </row>
    <row r="53" spans="1:10" x14ac:dyDescent="0.3">
      <c r="A53" t="s">
        <v>271</v>
      </c>
      <c r="B53">
        <v>100</v>
      </c>
      <c r="C53">
        <v>100</v>
      </c>
      <c r="D53" t="s">
        <v>272</v>
      </c>
      <c r="F53" t="s">
        <v>273</v>
      </c>
      <c r="G53">
        <v>470</v>
      </c>
      <c r="H53" t="s">
        <v>274</v>
      </c>
      <c r="I53" t="str">
        <f t="shared" si="0"/>
        <v>Lophodytes cucullatus</v>
      </c>
      <c r="J53" t="s">
        <v>275</v>
      </c>
    </row>
    <row r="54" spans="1:10" x14ac:dyDescent="0.3">
      <c r="A54" t="s">
        <v>276</v>
      </c>
      <c r="B54">
        <v>100</v>
      </c>
      <c r="C54">
        <v>100</v>
      </c>
      <c r="D54" t="s">
        <v>277</v>
      </c>
      <c r="E54" t="s">
        <v>278</v>
      </c>
      <c r="F54" t="s">
        <v>279</v>
      </c>
      <c r="G54">
        <v>5026</v>
      </c>
      <c r="H54" t="s">
        <v>280</v>
      </c>
      <c r="I54" t="str">
        <f t="shared" si="0"/>
        <v>Paralichthys dentatus</v>
      </c>
      <c r="J54" t="s">
        <v>281</v>
      </c>
    </row>
    <row r="55" spans="1:10" x14ac:dyDescent="0.3">
      <c r="A55" t="s">
        <v>282</v>
      </c>
      <c r="B55">
        <v>100</v>
      </c>
      <c r="C55">
        <v>100</v>
      </c>
      <c r="D55" t="s">
        <v>283</v>
      </c>
      <c r="E55" t="s">
        <v>284</v>
      </c>
      <c r="F55" t="s">
        <v>284</v>
      </c>
      <c r="G55">
        <v>655</v>
      </c>
      <c r="H55" t="s">
        <v>285</v>
      </c>
      <c r="I55" t="str">
        <f t="shared" si="0"/>
        <v>Peprilus triacanthus</v>
      </c>
      <c r="J55" t="s">
        <v>286</v>
      </c>
    </row>
    <row r="56" spans="1:10" x14ac:dyDescent="0.3">
      <c r="A56" t="s">
        <v>287</v>
      </c>
      <c r="B56">
        <v>100</v>
      </c>
      <c r="C56">
        <v>100</v>
      </c>
      <c r="D56" t="s">
        <v>288</v>
      </c>
      <c r="E56" t="s">
        <v>289</v>
      </c>
      <c r="F56" t="s">
        <v>290</v>
      </c>
      <c r="G56">
        <v>57</v>
      </c>
      <c r="H56" t="s">
        <v>291</v>
      </c>
      <c r="I56" t="str">
        <f t="shared" si="0"/>
        <v>Sebastes fasciatus</v>
      </c>
      <c r="J56" t="s">
        <v>292</v>
      </c>
    </row>
    <row r="57" spans="1:10" x14ac:dyDescent="0.3">
      <c r="A57" t="s">
        <v>293</v>
      </c>
      <c r="B57">
        <v>100</v>
      </c>
      <c r="C57">
        <v>100</v>
      </c>
      <c r="D57" t="s">
        <v>294</v>
      </c>
      <c r="E57" t="s">
        <v>294</v>
      </c>
      <c r="F57" t="s">
        <v>295</v>
      </c>
      <c r="G57">
        <v>20644</v>
      </c>
      <c r="H57" t="s">
        <v>296</v>
      </c>
      <c r="I57" t="str">
        <f t="shared" si="0"/>
        <v>Pomatomus saltatrix</v>
      </c>
      <c r="J57" t="s">
        <v>297</v>
      </c>
    </row>
    <row r="58" spans="1:10" x14ac:dyDescent="0.3">
      <c r="A58" t="s">
        <v>298</v>
      </c>
      <c r="B58">
        <v>100</v>
      </c>
      <c r="C58">
        <v>100</v>
      </c>
      <c r="D58" t="s">
        <v>299</v>
      </c>
      <c r="E58" t="s">
        <v>300</v>
      </c>
      <c r="F58" t="s">
        <v>301</v>
      </c>
      <c r="G58">
        <v>2830</v>
      </c>
      <c r="H58" t="s">
        <v>302</v>
      </c>
      <c r="I58" t="str">
        <f t="shared" si="0"/>
        <v>Cottidae sp</v>
      </c>
      <c r="J58" t="s">
        <v>303</v>
      </c>
    </row>
    <row r="59" spans="1:10" x14ac:dyDescent="0.3">
      <c r="A59" t="s">
        <v>304</v>
      </c>
      <c r="B59">
        <v>100</v>
      </c>
      <c r="C59">
        <v>100</v>
      </c>
      <c r="D59" t="s">
        <v>305</v>
      </c>
      <c r="F59" t="s">
        <v>306</v>
      </c>
      <c r="G59">
        <v>632</v>
      </c>
      <c r="H59" t="s">
        <v>307</v>
      </c>
      <c r="I59" t="str">
        <f t="shared" si="0"/>
        <v>Merginae sp</v>
      </c>
      <c r="J59" t="s">
        <v>308</v>
      </c>
    </row>
    <row r="60" spans="1:10" x14ac:dyDescent="0.3">
      <c r="A60" t="s">
        <v>309</v>
      </c>
      <c r="B60">
        <v>100</v>
      </c>
      <c r="C60">
        <v>100</v>
      </c>
      <c r="D60" t="s">
        <v>310</v>
      </c>
      <c r="E60" t="s">
        <v>311</v>
      </c>
      <c r="F60" t="s">
        <v>312</v>
      </c>
      <c r="G60">
        <v>1059</v>
      </c>
      <c r="H60" t="s">
        <v>313</v>
      </c>
      <c r="I60" t="str">
        <f t="shared" si="0"/>
        <v>Pholis gunnellus</v>
      </c>
      <c r="J60" t="s">
        <v>314</v>
      </c>
    </row>
    <row r="61" spans="1:10" x14ac:dyDescent="0.3">
      <c r="A61" t="s">
        <v>315</v>
      </c>
      <c r="B61">
        <v>100</v>
      </c>
      <c r="C61">
        <v>100</v>
      </c>
      <c r="D61" t="s">
        <v>316</v>
      </c>
      <c r="E61" t="s">
        <v>317</v>
      </c>
      <c r="F61" t="s">
        <v>318</v>
      </c>
      <c r="G61">
        <v>267</v>
      </c>
      <c r="H61" t="s">
        <v>319</v>
      </c>
      <c r="I61" t="str">
        <f t="shared" si="0"/>
        <v>Osmerus mordax</v>
      </c>
      <c r="J61" t="s">
        <v>320</v>
      </c>
    </row>
    <row r="62" spans="1:10" x14ac:dyDescent="0.3">
      <c r="A62" t="s">
        <v>321</v>
      </c>
      <c r="B62">
        <v>100</v>
      </c>
      <c r="C62">
        <v>100</v>
      </c>
      <c r="D62" t="s">
        <v>299</v>
      </c>
      <c r="E62" t="s">
        <v>322</v>
      </c>
      <c r="F62" t="s">
        <v>323</v>
      </c>
      <c r="G62">
        <v>17</v>
      </c>
      <c r="H62" t="s">
        <v>324</v>
      </c>
      <c r="I62" t="str">
        <f t="shared" si="0"/>
        <v>Cottidae sp</v>
      </c>
      <c r="J62" t="s">
        <v>325</v>
      </c>
    </row>
    <row r="63" spans="1:10" x14ac:dyDescent="0.3">
      <c r="A63" t="s">
        <v>326</v>
      </c>
      <c r="B63">
        <v>99.057000000000002</v>
      </c>
      <c r="C63">
        <v>100</v>
      </c>
      <c r="D63" t="s">
        <v>50</v>
      </c>
      <c r="E63" t="s">
        <v>327</v>
      </c>
      <c r="F63" t="s">
        <v>328</v>
      </c>
      <c r="G63">
        <v>123</v>
      </c>
      <c r="H63" t="s">
        <v>329</v>
      </c>
      <c r="I63" t="str">
        <f t="shared" si="0"/>
        <v>Pseudopleuronectes americanus or Myzopsetta ferruginea</v>
      </c>
      <c r="J63" t="s">
        <v>330</v>
      </c>
    </row>
    <row r="64" spans="1:10" x14ac:dyDescent="0.3">
      <c r="A64" t="s">
        <v>331</v>
      </c>
      <c r="B64">
        <v>100</v>
      </c>
      <c r="C64">
        <v>100</v>
      </c>
      <c r="D64" t="s">
        <v>332</v>
      </c>
      <c r="F64" t="s">
        <v>333</v>
      </c>
      <c r="G64">
        <v>182</v>
      </c>
      <c r="H64" t="s">
        <v>334</v>
      </c>
      <c r="I64" t="str">
        <f t="shared" si="0"/>
        <v>Clangula hyemalis or other Anatidae sp</v>
      </c>
      <c r="J64" t="s">
        <v>335</v>
      </c>
    </row>
    <row r="65" spans="1:10" x14ac:dyDescent="0.3">
      <c r="A65" t="s">
        <v>336</v>
      </c>
      <c r="B65">
        <v>99.057000000000002</v>
      </c>
      <c r="C65">
        <v>100</v>
      </c>
      <c r="D65" t="s">
        <v>70</v>
      </c>
      <c r="E65" t="s">
        <v>337</v>
      </c>
      <c r="F65" t="s">
        <v>337</v>
      </c>
      <c r="G65">
        <v>133</v>
      </c>
      <c r="H65" t="s">
        <v>338</v>
      </c>
      <c r="I65" t="str">
        <f t="shared" si="0"/>
        <v>Ammodytes dubius</v>
      </c>
      <c r="J65" t="s">
        <v>339</v>
      </c>
    </row>
    <row r="66" spans="1:10" x14ac:dyDescent="0.3">
      <c r="A66" t="s">
        <v>340</v>
      </c>
      <c r="B66">
        <v>100</v>
      </c>
      <c r="C66">
        <v>100</v>
      </c>
      <c r="D66" t="s">
        <v>131</v>
      </c>
      <c r="E66" t="s">
        <v>132</v>
      </c>
      <c r="F66" t="s">
        <v>341</v>
      </c>
      <c r="G66">
        <v>83</v>
      </c>
      <c r="H66" t="s">
        <v>342</v>
      </c>
      <c r="I66" t="str">
        <f t="shared" si="0"/>
        <v>Gadus morhua or Melanogrammus aeglefinus</v>
      </c>
      <c r="J66" t="s">
        <v>343</v>
      </c>
    </row>
    <row r="67" spans="1:10" x14ac:dyDescent="0.3">
      <c r="A67" t="s">
        <v>344</v>
      </c>
      <c r="B67">
        <v>100</v>
      </c>
      <c r="C67">
        <v>100</v>
      </c>
      <c r="D67" t="s">
        <v>11</v>
      </c>
      <c r="E67" t="s">
        <v>345</v>
      </c>
      <c r="F67" t="s">
        <v>346</v>
      </c>
      <c r="G67">
        <v>16487</v>
      </c>
      <c r="H67" t="s">
        <v>347</v>
      </c>
      <c r="I67" t="str">
        <f t="shared" ref="I67:I93" si="1">D67</f>
        <v>Anguilla rostrata</v>
      </c>
      <c r="J67" t="s">
        <v>348</v>
      </c>
    </row>
    <row r="68" spans="1:10" x14ac:dyDescent="0.3">
      <c r="A68" t="s">
        <v>349</v>
      </c>
      <c r="B68">
        <v>100</v>
      </c>
      <c r="C68">
        <v>100</v>
      </c>
      <c r="D68" t="s">
        <v>350</v>
      </c>
      <c r="E68" t="s">
        <v>351</v>
      </c>
      <c r="F68" t="s">
        <v>352</v>
      </c>
      <c r="G68">
        <v>1002</v>
      </c>
      <c r="H68" t="s">
        <v>353</v>
      </c>
      <c r="I68" t="str">
        <f t="shared" si="1"/>
        <v>Pogonias cromis or Leiostomus xanthurus</v>
      </c>
      <c r="J68" t="s">
        <v>354</v>
      </c>
    </row>
    <row r="69" spans="1:10" x14ac:dyDescent="0.3">
      <c r="A69" t="s">
        <v>355</v>
      </c>
      <c r="B69">
        <v>100</v>
      </c>
      <c r="C69">
        <v>100</v>
      </c>
      <c r="D69" t="s">
        <v>356</v>
      </c>
      <c r="F69" t="s">
        <v>357</v>
      </c>
      <c r="G69">
        <v>704</v>
      </c>
      <c r="H69" t="s">
        <v>358</v>
      </c>
      <c r="I69" t="str">
        <f t="shared" si="1"/>
        <v>Aythya sp</v>
      </c>
      <c r="J69" t="s">
        <v>359</v>
      </c>
    </row>
    <row r="70" spans="1:10" x14ac:dyDescent="0.3">
      <c r="A70" t="s">
        <v>360</v>
      </c>
      <c r="B70">
        <v>100</v>
      </c>
      <c r="C70">
        <v>100</v>
      </c>
      <c r="D70" t="s">
        <v>38</v>
      </c>
      <c r="E70" t="s">
        <v>39</v>
      </c>
      <c r="F70" t="s">
        <v>40</v>
      </c>
      <c r="G70">
        <v>20886</v>
      </c>
      <c r="H70" t="s">
        <v>361</v>
      </c>
      <c r="I70" t="str">
        <f t="shared" si="1"/>
        <v>Brevoortia tyrannus</v>
      </c>
      <c r="J70" t="s">
        <v>362</v>
      </c>
    </row>
    <row r="71" spans="1:10" x14ac:dyDescent="0.3">
      <c r="A71" t="s">
        <v>363</v>
      </c>
      <c r="B71">
        <v>99.057000000000002</v>
      </c>
      <c r="C71">
        <v>100</v>
      </c>
      <c r="D71" t="s">
        <v>299</v>
      </c>
      <c r="E71" t="s">
        <v>364</v>
      </c>
      <c r="F71" t="s">
        <v>365</v>
      </c>
      <c r="G71">
        <v>95</v>
      </c>
      <c r="H71" t="s">
        <v>366</v>
      </c>
      <c r="I71" t="str">
        <f t="shared" si="1"/>
        <v>Cottidae sp</v>
      </c>
      <c r="J71" t="s">
        <v>367</v>
      </c>
    </row>
    <row r="72" spans="1:10" x14ac:dyDescent="0.3">
      <c r="A72" t="s">
        <v>368</v>
      </c>
      <c r="B72">
        <v>100</v>
      </c>
      <c r="C72">
        <v>100</v>
      </c>
      <c r="D72" t="s">
        <v>33</v>
      </c>
      <c r="F72" t="s">
        <v>56</v>
      </c>
      <c r="G72">
        <v>2308</v>
      </c>
      <c r="H72" t="s">
        <v>369</v>
      </c>
      <c r="I72" t="str">
        <f t="shared" si="1"/>
        <v>Homo sapiens</v>
      </c>
      <c r="J72" t="s">
        <v>370</v>
      </c>
    </row>
    <row r="73" spans="1:10" x14ac:dyDescent="0.3">
      <c r="A73" t="s">
        <v>371</v>
      </c>
      <c r="B73">
        <v>100</v>
      </c>
      <c r="C73">
        <v>100</v>
      </c>
      <c r="D73" t="s">
        <v>372</v>
      </c>
      <c r="E73" t="s">
        <v>373</v>
      </c>
      <c r="F73" t="s">
        <v>374</v>
      </c>
      <c r="G73">
        <v>35</v>
      </c>
      <c r="H73" t="s">
        <v>375</v>
      </c>
      <c r="I73" t="str">
        <f t="shared" si="1"/>
        <v>Trachurus lathami</v>
      </c>
      <c r="J73" t="s">
        <v>376</v>
      </c>
    </row>
    <row r="74" spans="1:10" x14ac:dyDescent="0.3">
      <c r="A74" t="s">
        <v>377</v>
      </c>
      <c r="B74">
        <v>100</v>
      </c>
      <c r="C74">
        <v>100</v>
      </c>
      <c r="D74" t="s">
        <v>33</v>
      </c>
      <c r="E74" t="s">
        <v>378</v>
      </c>
      <c r="F74" t="s">
        <v>33</v>
      </c>
      <c r="G74">
        <v>49413</v>
      </c>
      <c r="H74" t="s">
        <v>379</v>
      </c>
      <c r="I74" t="str">
        <f t="shared" si="1"/>
        <v>Homo sapiens</v>
      </c>
      <c r="J74" t="s">
        <v>380</v>
      </c>
    </row>
    <row r="75" spans="1:10" x14ac:dyDescent="0.3">
      <c r="A75" t="s">
        <v>381</v>
      </c>
      <c r="B75">
        <v>100</v>
      </c>
      <c r="C75">
        <v>100</v>
      </c>
      <c r="D75" t="s">
        <v>382</v>
      </c>
      <c r="E75" t="s">
        <v>383</v>
      </c>
      <c r="F75" t="s">
        <v>384</v>
      </c>
      <c r="G75">
        <v>133</v>
      </c>
      <c r="H75" t="s">
        <v>385</v>
      </c>
      <c r="I75" t="str">
        <f t="shared" si="1"/>
        <v>Etropus microstomus</v>
      </c>
      <c r="J75" t="s">
        <v>386</v>
      </c>
    </row>
    <row r="76" spans="1:10" x14ac:dyDescent="0.3">
      <c r="A76" t="s">
        <v>387</v>
      </c>
      <c r="B76">
        <v>100</v>
      </c>
      <c r="C76">
        <v>100</v>
      </c>
      <c r="D76" t="s">
        <v>388</v>
      </c>
      <c r="E76" t="s">
        <v>389</v>
      </c>
      <c r="F76" t="s">
        <v>390</v>
      </c>
      <c r="G76">
        <v>60</v>
      </c>
      <c r="H76" t="s">
        <v>391</v>
      </c>
      <c r="I76" t="str">
        <f t="shared" si="1"/>
        <v>Lepomis gibbosus</v>
      </c>
      <c r="J76" t="s">
        <v>392</v>
      </c>
    </row>
    <row r="77" spans="1:10" x14ac:dyDescent="0.3">
      <c r="A77" t="s">
        <v>393</v>
      </c>
      <c r="B77">
        <v>99.073999999999998</v>
      </c>
      <c r="C77">
        <v>100</v>
      </c>
      <c r="D77" t="s">
        <v>356</v>
      </c>
      <c r="F77" t="s">
        <v>394</v>
      </c>
      <c r="G77">
        <v>672</v>
      </c>
      <c r="H77" t="s">
        <v>395</v>
      </c>
      <c r="I77" t="str">
        <f t="shared" si="1"/>
        <v>Aythya sp</v>
      </c>
      <c r="J77" t="s">
        <v>396</v>
      </c>
    </row>
    <row r="78" spans="1:10" x14ac:dyDescent="0.3">
      <c r="A78" t="s">
        <v>397</v>
      </c>
      <c r="B78">
        <v>100</v>
      </c>
      <c r="C78">
        <v>100</v>
      </c>
      <c r="D78" t="s">
        <v>398</v>
      </c>
      <c r="F78" t="s">
        <v>399</v>
      </c>
      <c r="G78">
        <v>4130</v>
      </c>
      <c r="H78" t="s">
        <v>400</v>
      </c>
      <c r="I78" t="str">
        <f t="shared" si="1"/>
        <v>Anas sp</v>
      </c>
      <c r="J78" t="s">
        <v>401</v>
      </c>
    </row>
    <row r="79" spans="1:10" x14ac:dyDescent="0.3">
      <c r="A79" t="s">
        <v>402</v>
      </c>
      <c r="B79">
        <v>100</v>
      </c>
      <c r="C79">
        <v>100</v>
      </c>
      <c r="D79" t="s">
        <v>164</v>
      </c>
      <c r="E79" t="s">
        <v>165</v>
      </c>
      <c r="F79" t="s">
        <v>166</v>
      </c>
      <c r="G79">
        <v>49796</v>
      </c>
      <c r="H79" t="s">
        <v>403</v>
      </c>
      <c r="I79" t="str">
        <f t="shared" si="1"/>
        <v>Fundulus majalis</v>
      </c>
      <c r="J79" t="s">
        <v>404</v>
      </c>
    </row>
    <row r="80" spans="1:10" x14ac:dyDescent="0.3">
      <c r="A80" t="s">
        <v>405</v>
      </c>
      <c r="B80">
        <v>100</v>
      </c>
      <c r="C80">
        <v>100</v>
      </c>
      <c r="D80" t="s">
        <v>406</v>
      </c>
      <c r="E80" t="s">
        <v>407</v>
      </c>
      <c r="F80" t="s">
        <v>407</v>
      </c>
      <c r="G80">
        <v>616</v>
      </c>
      <c r="H80" t="s">
        <v>408</v>
      </c>
      <c r="I80" t="str">
        <f t="shared" si="1"/>
        <v>Cynoscion regalis</v>
      </c>
      <c r="J80" t="s">
        <v>409</v>
      </c>
    </row>
    <row r="81" spans="1:10" x14ac:dyDescent="0.3">
      <c r="A81" t="s">
        <v>410</v>
      </c>
      <c r="B81">
        <v>100</v>
      </c>
      <c r="C81">
        <v>100</v>
      </c>
      <c r="D81" t="s">
        <v>411</v>
      </c>
      <c r="E81" t="s">
        <v>412</v>
      </c>
      <c r="F81" t="s">
        <v>411</v>
      </c>
      <c r="G81">
        <v>801</v>
      </c>
      <c r="H81" t="s">
        <v>413</v>
      </c>
      <c r="I81" t="str">
        <f t="shared" si="1"/>
        <v>Lepomis macrochirus</v>
      </c>
      <c r="J81" t="s">
        <v>414</v>
      </c>
    </row>
    <row r="82" spans="1:10" x14ac:dyDescent="0.3">
      <c r="A82" t="s">
        <v>415</v>
      </c>
      <c r="B82">
        <v>99.073999999999998</v>
      </c>
      <c r="C82">
        <v>100</v>
      </c>
      <c r="D82" t="s">
        <v>89</v>
      </c>
      <c r="F82" t="s">
        <v>416</v>
      </c>
      <c r="G82">
        <v>202</v>
      </c>
      <c r="H82" t="s">
        <v>417</v>
      </c>
      <c r="I82" t="str">
        <f t="shared" si="1"/>
        <v>Anatidae sp</v>
      </c>
      <c r="J82" t="s">
        <v>418</v>
      </c>
    </row>
    <row r="83" spans="1:10" x14ac:dyDescent="0.3">
      <c r="A83" t="s">
        <v>419</v>
      </c>
      <c r="B83">
        <v>100</v>
      </c>
      <c r="C83">
        <v>100</v>
      </c>
      <c r="D83" t="s">
        <v>420</v>
      </c>
      <c r="F83" t="s">
        <v>421</v>
      </c>
      <c r="G83">
        <v>549</v>
      </c>
      <c r="H83" t="s">
        <v>422</v>
      </c>
      <c r="I83" t="str">
        <f t="shared" si="1"/>
        <v>Mareca sp</v>
      </c>
      <c r="J83" t="s">
        <v>423</v>
      </c>
    </row>
    <row r="84" spans="1:10" x14ac:dyDescent="0.3">
      <c r="A84" t="s">
        <v>424</v>
      </c>
      <c r="B84">
        <v>100</v>
      </c>
      <c r="C84">
        <v>100</v>
      </c>
      <c r="D84" t="s">
        <v>33</v>
      </c>
      <c r="E84" t="s">
        <v>378</v>
      </c>
      <c r="F84" t="s">
        <v>33</v>
      </c>
      <c r="G84">
        <v>41</v>
      </c>
      <c r="H84" t="s">
        <v>425</v>
      </c>
      <c r="I84" t="str">
        <f t="shared" si="1"/>
        <v>Homo sapiens</v>
      </c>
      <c r="J84" t="s">
        <v>426</v>
      </c>
    </row>
    <row r="85" spans="1:10" x14ac:dyDescent="0.3">
      <c r="A85" t="s">
        <v>427</v>
      </c>
      <c r="B85">
        <v>100</v>
      </c>
      <c r="C85">
        <v>100</v>
      </c>
      <c r="D85" t="s">
        <v>428</v>
      </c>
      <c r="F85" t="s">
        <v>429</v>
      </c>
      <c r="G85">
        <v>78</v>
      </c>
      <c r="H85" t="s">
        <v>430</v>
      </c>
      <c r="I85" t="str">
        <f t="shared" si="1"/>
        <v>Rattus norvegicus</v>
      </c>
      <c r="J85" t="s">
        <v>431</v>
      </c>
    </row>
    <row r="86" spans="1:10" x14ac:dyDescent="0.3">
      <c r="A86" t="s">
        <v>432</v>
      </c>
      <c r="E86" t="s">
        <v>433</v>
      </c>
      <c r="F86" t="s">
        <v>434</v>
      </c>
      <c r="G86">
        <v>1607</v>
      </c>
      <c r="H86" t="s">
        <v>435</v>
      </c>
      <c r="I86" t="s">
        <v>464</v>
      </c>
      <c r="J86" t="s">
        <v>436</v>
      </c>
    </row>
    <row r="87" spans="1:10" x14ac:dyDescent="0.3">
      <c r="A87" t="s">
        <v>437</v>
      </c>
      <c r="E87" s="2" t="s">
        <v>438</v>
      </c>
      <c r="F87" s="2" t="s">
        <v>438</v>
      </c>
      <c r="G87">
        <v>16</v>
      </c>
      <c r="H87" t="s">
        <v>439</v>
      </c>
      <c r="I87" t="str">
        <f>E87</f>
        <v>Ophidion marginatum</v>
      </c>
      <c r="J87" t="s">
        <v>440</v>
      </c>
    </row>
    <row r="88" spans="1:10" x14ac:dyDescent="0.3">
      <c r="A88" t="s">
        <v>441</v>
      </c>
      <c r="F88" t="s">
        <v>442</v>
      </c>
      <c r="G88">
        <v>2724</v>
      </c>
      <c r="H88" t="s">
        <v>443</v>
      </c>
      <c r="I88" t="str">
        <f>F88</f>
        <v>Ardea cinerea</v>
      </c>
      <c r="J88" t="s">
        <v>444</v>
      </c>
    </row>
    <row r="89" spans="1:10" x14ac:dyDescent="0.3">
      <c r="A89" t="s">
        <v>445</v>
      </c>
      <c r="F89" t="s">
        <v>446</v>
      </c>
      <c r="G89">
        <v>36</v>
      </c>
      <c r="H89" t="s">
        <v>447</v>
      </c>
      <c r="I89" t="str">
        <f t="shared" ref="I89:I93" si="2">F89</f>
        <v>Canis lupus</v>
      </c>
      <c r="J89" t="s">
        <v>448</v>
      </c>
    </row>
    <row r="90" spans="1:10" x14ac:dyDescent="0.3">
      <c r="A90" t="s">
        <v>449</v>
      </c>
      <c r="F90" s="2" t="s">
        <v>450</v>
      </c>
      <c r="G90">
        <v>28</v>
      </c>
      <c r="H90" t="s">
        <v>451</v>
      </c>
      <c r="I90" t="str">
        <f t="shared" si="2"/>
        <v>Sternotherus carinatus</v>
      </c>
      <c r="J90" t="s">
        <v>452</v>
      </c>
    </row>
    <row r="91" spans="1:10" x14ac:dyDescent="0.3">
      <c r="A91" t="s">
        <v>453</v>
      </c>
      <c r="F91" t="s">
        <v>446</v>
      </c>
      <c r="G91">
        <v>28</v>
      </c>
      <c r="H91" t="s">
        <v>454</v>
      </c>
      <c r="I91" t="str">
        <f t="shared" si="2"/>
        <v>Canis lupus</v>
      </c>
      <c r="J91" t="s">
        <v>455</v>
      </c>
    </row>
    <row r="92" spans="1:10" x14ac:dyDescent="0.3">
      <c r="A92" t="s">
        <v>456</v>
      </c>
      <c r="F92" t="s">
        <v>33</v>
      </c>
      <c r="G92">
        <v>26</v>
      </c>
      <c r="H92" t="s">
        <v>457</v>
      </c>
      <c r="I92" t="str">
        <f t="shared" si="2"/>
        <v>Homo sapiens</v>
      </c>
      <c r="J92" t="s">
        <v>458</v>
      </c>
    </row>
    <row r="93" spans="1:10" x14ac:dyDescent="0.3">
      <c r="A93" t="s">
        <v>459</v>
      </c>
      <c r="F93" t="s">
        <v>460</v>
      </c>
      <c r="G93">
        <v>20</v>
      </c>
      <c r="H93" t="s">
        <v>461</v>
      </c>
      <c r="I93" t="s">
        <v>198</v>
      </c>
      <c r="J93" t="s">
        <v>462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Strand</cp:lastModifiedBy>
  <dcterms:created xsi:type="dcterms:W3CDTF">2026-01-13T18:58:01Z</dcterms:created>
  <dcterms:modified xsi:type="dcterms:W3CDTF">2026-01-13T19:19:02Z</dcterms:modified>
</cp:coreProperties>
</file>